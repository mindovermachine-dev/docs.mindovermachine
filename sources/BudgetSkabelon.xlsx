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b057033\Downloads\"/>
    </mc:Choice>
  </mc:AlternateContent>
  <xr:revisionPtr revIDLastSave="0" documentId="13_ncr:1_{1028A760-D01F-4AE1-91BA-C31E5EE76450}" xr6:coauthVersionLast="36" xr6:coauthVersionMax="36" xr10:uidLastSave="{00000000-0000-0000-0000-000000000000}"/>
  <workbookProtection workbookAlgorithmName="SHA-512" workbookHashValue="VO4ojuoHrzVyZJVN6hsKbeFRkEB4tQmh4gsQ3Z50JVVa0k0RVDWOCgLoT0iSe475wV9Dg2xCaDMMLxH0/x74hw==" workbookSaltValue="10BDAu1xOeiWLRLAtZ9UOg==" workbookSpinCount="100000" lockStructure="1"/>
  <bookViews>
    <workbookView xWindow="1605" yWindow="1005" windowWidth="25605" windowHeight="15990" tabRatio="583" xr2:uid="{00000000-000D-0000-FFFF-FFFF00000000}"/>
  </bookViews>
  <sheets>
    <sheet name="Budget" sheetId="20" r:id="rId1"/>
    <sheet name="Print_Budget" sheetId="21" state="hidden" r:id="rId2"/>
    <sheet name="Partnere" sheetId="2" state="hidden" r:id="rId3"/>
    <sheet name="Poster" sheetId="1" state="hidden" r:id="rId4"/>
    <sheet name="Lookups" sheetId="3" state="hidden" r:id="rId5"/>
    <sheet name="Validators" sheetId="11" state="hidden" r:id="rId6"/>
    <sheet name="Versionering" sheetId="22" state="hidden" r:id="rId7"/>
  </sheets>
  <definedNames>
    <definedName name="CVR" localSheetId="1">Print_Budget!$B$3</definedName>
    <definedName name="CVR">Budget!$B$3</definedName>
    <definedName name="FirstDate">DATE(2016, 1, 1)</definedName>
    <definedName name="MaxProcent">33%</definedName>
    <definedName name="_xlnm.Print_Area" localSheetId="1">Print_Budget!$A$1:$F$25</definedName>
    <definedName name="Projekstart" localSheetId="1">Print_Budget!$B$4</definedName>
    <definedName name="Projekstart">Budget!$B$4</definedName>
    <definedName name="Projektslut" localSheetId="1">Print_Budget!$B$5</definedName>
    <definedName name="Projektslut">Budget!$B$5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0" l="1"/>
  <c r="D11" i="20"/>
  <c r="D10" i="20"/>
  <c r="D9" i="20"/>
  <c r="C12" i="20"/>
  <c r="C11" i="20"/>
  <c r="C10" i="20"/>
  <c r="C9" i="20"/>
  <c r="C17" i="21" l="1"/>
  <c r="E7" i="21" l="1"/>
  <c r="C13" i="20" l="1"/>
  <c r="C13" i="21" s="1"/>
  <c r="J5" i="1"/>
  <c r="B3" i="1"/>
  <c r="B4" i="1"/>
  <c r="B5" i="1"/>
  <c r="B2" i="1"/>
  <c r="B6" i="1"/>
  <c r="E9" i="20"/>
  <c r="E9" i="21" s="1"/>
  <c r="J4" i="1"/>
  <c r="I4" i="1"/>
  <c r="B13" i="20"/>
  <c r="E13" i="20" s="1"/>
  <c r="E13" i="21" s="1"/>
  <c r="C10" i="21"/>
  <c r="B10" i="21"/>
  <c r="C11" i="21"/>
  <c r="B11" i="21"/>
  <c r="C12" i="21"/>
  <c r="B12" i="21"/>
  <c r="C9" i="21"/>
  <c r="B9" i="21"/>
  <c r="E10" i="20"/>
  <c r="E10" i="21" s="1"/>
  <c r="E11" i="20"/>
  <c r="E11" i="21" s="1"/>
  <c r="E12" i="20"/>
  <c r="E12" i="21" s="1"/>
  <c r="A17" i="21"/>
  <c r="B5" i="21"/>
  <c r="B4" i="21"/>
  <c r="B3" i="21"/>
  <c r="B2" i="21"/>
  <c r="D10" i="21"/>
  <c r="B8" i="1"/>
  <c r="B9" i="1"/>
  <c r="I2" i="1"/>
  <c r="I3" i="1"/>
  <c r="I5" i="1"/>
  <c r="I6" i="1"/>
  <c r="I7" i="1"/>
  <c r="I8" i="1"/>
  <c r="I9" i="1"/>
  <c r="H2" i="1"/>
  <c r="H3" i="1"/>
  <c r="H4" i="1"/>
  <c r="H5" i="1"/>
  <c r="H6" i="1"/>
  <c r="H7" i="1"/>
  <c r="H8" i="1"/>
  <c r="H9" i="1"/>
  <c r="I2" i="2"/>
  <c r="A2" i="11"/>
  <c r="F2" i="2"/>
  <c r="B13" i="21" l="1"/>
  <c r="B7" i="1"/>
  <c r="D11" i="21"/>
  <c r="D9" i="21"/>
  <c r="D13" i="20"/>
  <c r="D13" i="21" s="1"/>
  <c r="D12" i="21"/>
</calcChain>
</file>

<file path=xl/sharedStrings.xml><?xml version="1.0" encoding="utf-8"?>
<sst xmlns="http://schemas.openxmlformats.org/spreadsheetml/2006/main" count="117" uniqueCount="91">
  <si>
    <t>Navn</t>
  </si>
  <si>
    <t>CPRnr</t>
  </si>
  <si>
    <t>Pnr</t>
  </si>
  <si>
    <t>Organisationstype</t>
  </si>
  <si>
    <t>Budgetmodel</t>
  </si>
  <si>
    <t>Overheadsats</t>
  </si>
  <si>
    <t>Adresselinje1</t>
  </si>
  <si>
    <t>Adresselinje2</t>
  </si>
  <si>
    <t>Adresselinje3</t>
  </si>
  <si>
    <t>Adresselinje4</t>
  </si>
  <si>
    <t>Postnr</t>
  </si>
  <si>
    <t>Landekode</t>
  </si>
  <si>
    <t>Partner</t>
  </si>
  <si>
    <t>Email</t>
  </si>
  <si>
    <t>Administrator</t>
  </si>
  <si>
    <t>Finansieringstype</t>
  </si>
  <si>
    <t>Omkostningsart</t>
  </si>
  <si>
    <t>Enhedsantal</t>
  </si>
  <si>
    <t>Enhedspris</t>
  </si>
  <si>
    <t>Specifikation</t>
  </si>
  <si>
    <t>Arbejdspakke</t>
  </si>
  <si>
    <t>SystemSagRolleEnum</t>
  </si>
  <si>
    <t>Partnertype</t>
  </si>
  <si>
    <t>Kode</t>
  </si>
  <si>
    <t>CreateSagspartOnApplication</t>
  </si>
  <si>
    <t>CVRnr</t>
  </si>
  <si>
    <t>VATnr</t>
  </si>
  <si>
    <t>Bynavn</t>
  </si>
  <si>
    <t>IsOrganisation</t>
  </si>
  <si>
    <t>Organisationsstoerrelse</t>
  </si>
  <si>
    <t>PartnerId</t>
  </si>
  <si>
    <t>Id</t>
  </si>
  <si>
    <t>Beloeb</t>
  </si>
  <si>
    <t>OmkostningsartKode</t>
  </si>
  <si>
    <t>EnhedstypeKode</t>
  </si>
  <si>
    <t>PeriodeStartdato</t>
  </si>
  <si>
    <t>PeriodeSlutdato</t>
  </si>
  <si>
    <t>AggregeretPost</t>
  </si>
  <si>
    <t>CVR</t>
  </si>
  <si>
    <t>Afdeling</t>
  </si>
  <si>
    <t>Aktivitetstype</t>
  </si>
  <si>
    <t>Kostfaktor</t>
  </si>
  <si>
    <t>Timetakst</t>
  </si>
  <si>
    <t>Fornavn</t>
  </si>
  <si>
    <t>Efternavn</t>
  </si>
  <si>
    <t>Reference</t>
  </si>
  <si>
    <t>BevillingsgiverFinansiering</t>
  </si>
  <si>
    <t>Egenfinansiering</t>
  </si>
  <si>
    <t>Budgetposter</t>
  </si>
  <si>
    <t>Løn til nye medarbejdere</t>
  </si>
  <si>
    <t>Løn til egne medarbejdere</t>
  </si>
  <si>
    <t>Udgifter til videnleverandører</t>
  </si>
  <si>
    <t>Andre udgifter</t>
  </si>
  <si>
    <t>I alt</t>
  </si>
  <si>
    <t>LØN-MEDARB_NYE</t>
  </si>
  <si>
    <t>LØN-MEDARB_PT_ANS</t>
  </si>
  <si>
    <t>DRIFT-ANDRE2</t>
  </si>
  <si>
    <t>ØVRIGE2</t>
  </si>
  <si>
    <t>First date</t>
  </si>
  <si>
    <t>Last date</t>
  </si>
  <si>
    <r>
      <t xml:space="preserve">Virksomhed </t>
    </r>
    <r>
      <rPr>
        <sz val="10"/>
        <color rgb="FFFF0000"/>
        <rFont val="Calibri"/>
        <family val="2"/>
        <scheme val="minor"/>
      </rPr>
      <t>*</t>
    </r>
  </si>
  <si>
    <r>
      <t xml:space="preserve">CVR </t>
    </r>
    <r>
      <rPr>
        <sz val="10"/>
        <color rgb="FFFF0000"/>
        <rFont val="Calibri"/>
        <family val="2"/>
        <scheme val="minor"/>
      </rPr>
      <t>*</t>
    </r>
  </si>
  <si>
    <r>
      <t xml:space="preserve">Startdato (dd-mm-yyyy) </t>
    </r>
    <r>
      <rPr>
        <sz val="10"/>
        <color rgb="FFFF0000"/>
        <rFont val="Calibri"/>
        <family val="2"/>
        <scheme val="minor"/>
      </rPr>
      <t>*</t>
    </r>
  </si>
  <si>
    <r>
      <t xml:space="preserve">Slutdato (dd-mm-yyyy) </t>
    </r>
    <r>
      <rPr>
        <sz val="10"/>
        <color rgb="FFFF0000"/>
        <rFont val="Calibri"/>
        <family val="2"/>
        <scheme val="minor"/>
      </rPr>
      <t>*</t>
    </r>
  </si>
  <si>
    <t>Ansøgt IF-investering</t>
  </si>
  <si>
    <t>Samlet budget</t>
  </si>
  <si>
    <t>Eksempel: Leverandør A/S (kr. 90.000 kr.)</t>
  </si>
  <si>
    <t xml:space="preserve">1. </t>
  </si>
  <si>
    <t xml:space="preserve">2. </t>
  </si>
  <si>
    <t>3a</t>
  </si>
  <si>
    <t>3b</t>
  </si>
  <si>
    <t>Virksomhed</t>
  </si>
  <si>
    <t>Startdato (dd-mm-åå)</t>
  </si>
  <si>
    <t>Slutdato (dd-mm-åå)</t>
  </si>
  <si>
    <t>Samlet budget (kr.)</t>
  </si>
  <si>
    <t>Version</t>
  </si>
  <si>
    <t>Innobooster - budget</t>
  </si>
  <si>
    <t>Løn til eksisterende medarbejdere</t>
  </si>
  <si>
    <t>Ansøgt IF-investering (kr.)</t>
  </si>
  <si>
    <t>Bemærk: Nedenstående felter er obligatoriske</t>
  </si>
  <si>
    <t>Udgifter til materialer og udstyr (min. 10.000 kr. pr. faktura)</t>
  </si>
  <si>
    <t>2.0</t>
  </si>
  <si>
    <t>Jeg ønsker at ansøge om en investeringsprocent på (max 35%):</t>
  </si>
  <si>
    <t>Investeringsprocent (max 35%)</t>
  </si>
  <si>
    <t>Investeringsgrad (max. 35 % per budgetpost)</t>
  </si>
  <si>
    <t>Udgifter til vidensleverandører</t>
  </si>
  <si>
    <t>Eksempel: Vidensleverandør A/S (100.000 kr.)</t>
  </si>
  <si>
    <r>
      <rPr>
        <b/>
        <sz val="10"/>
        <color theme="1"/>
        <rFont val="Calibri"/>
        <family val="2"/>
        <scheme val="minor"/>
      </rPr>
      <t>Vidensleverandører:</t>
    </r>
    <r>
      <rPr>
        <sz val="10"/>
        <color theme="1"/>
        <rFont val="Calibri"/>
        <family val="2"/>
        <scheme val="minor"/>
      </rPr>
      <t xml:space="preserve"> Hvis du budgetterer med udgifter til vidensleverandører, så angiv hver enkelt vidensleverandør nedenfor med forventet beløb i parentes. 
Bemærk at vidensleverandører, der angives her, skal stemme overens med de vidensleverandører, der er angivet i ansøgningsblanketten under fanen ”Eksterne leverandører” samt i aktivitetsplanen.
</t>
    </r>
  </si>
  <si>
    <r>
      <rPr>
        <b/>
        <sz val="10"/>
        <color theme="1"/>
        <rFont val="Calibri"/>
        <family val="2"/>
        <scheme val="minor"/>
      </rPr>
      <t xml:space="preserve">Leverandører, andre udgifter til materialer og udstyr: </t>
    </r>
    <r>
      <rPr>
        <sz val="10"/>
        <color theme="1"/>
        <rFont val="Calibri"/>
        <family val="2"/>
        <scheme val="minor"/>
      </rPr>
      <t xml:space="preserve">Hvis du budgetterer med disse udgifter, så angiv leverandøren nedenfor med forventet beløb i parentes. (Min. 10.000 kr. pr. faktura).
Bemærk at leverandører, der angives her, skal stemme overens med de leverandører, der er angivet i ansøgningsblanketten under fanen ”Eksterne leverandører” samt i aktivitetsplanen.
</t>
    </r>
  </si>
  <si>
    <r>
      <t xml:space="preserve">Leverandører, andre udgifter til materialer og udstyr: </t>
    </r>
    <r>
      <rPr>
        <sz val="10"/>
        <color theme="1"/>
        <rFont val="Calibri"/>
        <family val="2"/>
        <scheme val="minor"/>
      </rPr>
      <t>Hvis du budgetterer med disse udgifter, så angiv leverandøren nedenfor med forventet beløb i parentes. (Min. 10.000 kr. pr. faktura).
Bemærk at leverandører, der angives her, skal stemme overens med de leverandører, der er angivet i ansøgningsblanketten under fanen ”Eksterne leverandører” samt i aktivitetsplanen.</t>
    </r>
  </si>
  <si>
    <r>
      <t xml:space="preserve">Vidensleverandører: </t>
    </r>
    <r>
      <rPr>
        <sz val="10"/>
        <color theme="1"/>
        <rFont val="Calibri"/>
        <family val="2"/>
        <scheme val="minor"/>
      </rPr>
      <t>Hvis du budgetterer med udgifter til vidensleverandører, så angiv hver enkelt vidensleverandør nedenfor med forventet beløb i parentes. 
Bemærk at vidensleverandører, der angives her, skal stemme overens med de vidensleverandører, der er angivet i ansøgningsblanketten under fanen ”Eksterne leverandører” samt i aktivitetsplanen.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</si>
</sst>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-#,##0.0"/>
    <numFmt numFmtId="165" formatCode="#,##0&quot; &quot;;\(#,##0\)"/>
    <numFmt numFmtId="166" formatCode="dd/mm/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1C1C1C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A6AA"/>
        <bgColor indexed="64"/>
      </patternFill>
    </fill>
    <fill>
      <patternFill patternType="solid">
        <fgColor rgb="FFAAC4CA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3A7AA"/>
        <bgColor indexed="64"/>
      </patternFill>
    </fill>
  </fills>
  <borders count="3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9" fontId="21" fillId="0" borderId="0" applyFont="0" applyFill="0" applyBorder="0" applyAlignment="0" applyProtection="0"/>
  </cellStyleXfs>
  <cellXfs count="119">
    <xf numFmtId="0" fontId="0" fillId="0" borderId="0" xfId="0"/>
    <xf numFmtId="164" fontId="0" fillId="0" borderId="0" xfId="0" applyNumberFormat="1"/>
    <xf numFmtId="14" fontId="0" fillId="0" borderId="0" xfId="0" applyNumberFormat="1"/>
    <xf numFmtId="40" fontId="0" fillId="0" borderId="0" xfId="0" applyNumberFormat="1"/>
    <xf numFmtId="0" fontId="0" fillId="0" borderId="0" xfId="0" applyBorder="1"/>
    <xf numFmtId="0" fontId="3" fillId="2" borderId="1" xfId="0" applyFont="1" applyFill="1" applyBorder="1"/>
    <xf numFmtId="0" fontId="0" fillId="3" borderId="1" xfId="0" applyFont="1" applyFill="1" applyBorder="1"/>
    <xf numFmtId="0" fontId="0" fillId="0" borderId="0" xfId="0" applyNumberFormat="1"/>
    <xf numFmtId="0" fontId="0" fillId="0" borderId="0" xfId="0"/>
    <xf numFmtId="0" fontId="0" fillId="4" borderId="0" xfId="0" applyFill="1" applyProtection="1"/>
    <xf numFmtId="0" fontId="0" fillId="0" borderId="0" xfId="0" applyProtection="1"/>
    <xf numFmtId="0" fontId="0" fillId="4" borderId="0" xfId="0" applyFill="1" applyBorder="1" applyProtection="1"/>
    <xf numFmtId="0" fontId="4" fillId="4" borderId="0" xfId="0" applyFont="1" applyFill="1" applyProtection="1"/>
    <xf numFmtId="0" fontId="3" fillId="2" borderId="0" xfId="0" applyFont="1" applyFill="1" applyBorder="1"/>
    <xf numFmtId="0" fontId="6" fillId="5" borderId="8" xfId="0" applyFont="1" applyFill="1" applyBorder="1" applyAlignment="1" applyProtection="1">
      <alignment vertical="center"/>
    </xf>
    <xf numFmtId="0" fontId="6" fillId="4" borderId="0" xfId="0" applyFont="1" applyFill="1" applyProtection="1"/>
    <xf numFmtId="0" fontId="6" fillId="0" borderId="0" xfId="0" applyFont="1" applyProtection="1"/>
    <xf numFmtId="0" fontId="6" fillId="5" borderId="20" xfId="0" applyFont="1" applyFill="1" applyBorder="1" applyAlignment="1" applyProtection="1">
      <alignment vertical="center"/>
    </xf>
    <xf numFmtId="0" fontId="6" fillId="5" borderId="9" xfId="0" applyFont="1" applyFill="1" applyBorder="1" applyAlignment="1" applyProtection="1">
      <alignment vertical="center"/>
    </xf>
    <xf numFmtId="0" fontId="8" fillId="5" borderId="2" xfId="0" applyFont="1" applyFill="1" applyBorder="1" applyAlignment="1" applyProtection="1">
      <alignment vertical="center"/>
    </xf>
    <xf numFmtId="0" fontId="6" fillId="5" borderId="4" xfId="0" applyFont="1" applyFill="1" applyBorder="1" applyAlignment="1" applyProtection="1">
      <alignment vertical="center"/>
    </xf>
    <xf numFmtId="38" fontId="9" fillId="0" borderId="10" xfId="0" applyNumberFormat="1" applyFont="1" applyFill="1" applyBorder="1" applyAlignment="1" applyProtection="1">
      <alignment vertical="center"/>
      <protection locked="0"/>
    </xf>
    <xf numFmtId="38" fontId="6" fillId="6" borderId="10" xfId="0" applyNumberFormat="1" applyFont="1" applyFill="1" applyBorder="1" applyAlignment="1" applyProtection="1">
      <alignment vertical="center"/>
    </xf>
    <xf numFmtId="0" fontId="6" fillId="5" borderId="5" xfId="0" applyFont="1" applyFill="1" applyBorder="1" applyAlignment="1" applyProtection="1">
      <alignment vertical="center"/>
    </xf>
    <xf numFmtId="38" fontId="9" fillId="0" borderId="11" xfId="0" applyNumberFormat="1" applyFont="1" applyFill="1" applyBorder="1" applyAlignment="1" applyProtection="1">
      <alignment vertical="center"/>
      <protection locked="0"/>
    </xf>
    <xf numFmtId="38" fontId="6" fillId="6" borderId="12" xfId="0" applyNumberFormat="1" applyFont="1" applyFill="1" applyBorder="1" applyAlignment="1" applyProtection="1">
      <alignment vertical="center"/>
    </xf>
    <xf numFmtId="38" fontId="8" fillId="6" borderId="13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8" fillId="4" borderId="0" xfId="0" applyFont="1" applyFill="1" applyAlignment="1" applyProtection="1">
      <alignment horizontal="left"/>
    </xf>
    <xf numFmtId="0" fontId="6" fillId="4" borderId="0" xfId="0" applyFont="1" applyFill="1" applyBorder="1" applyAlignment="1" applyProtection="1">
      <alignment vertical="center"/>
    </xf>
    <xf numFmtId="14" fontId="6" fillId="4" borderId="0" xfId="0" applyNumberFormat="1" applyFont="1" applyFill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right" vertical="center"/>
      <protection locked="0"/>
    </xf>
    <xf numFmtId="0" fontId="6" fillId="0" borderId="21" xfId="0" applyFont="1" applyBorder="1" applyAlignment="1" applyProtection="1">
      <alignment horizontal="right" vertical="center"/>
      <protection locked="0"/>
    </xf>
    <xf numFmtId="14" fontId="6" fillId="0" borderId="22" xfId="0" applyNumberFormat="1" applyFont="1" applyFill="1" applyBorder="1" applyAlignment="1" applyProtection="1">
      <alignment horizontal="right" vertical="center"/>
      <protection locked="0"/>
    </xf>
    <xf numFmtId="14" fontId="6" fillId="0" borderId="6" xfId="0" applyNumberFormat="1" applyFont="1" applyBorder="1" applyAlignment="1" applyProtection="1">
      <alignment horizontal="right" vertical="center"/>
      <protection locked="0"/>
    </xf>
    <xf numFmtId="0" fontId="8" fillId="5" borderId="3" xfId="0" applyFont="1" applyFill="1" applyBorder="1" applyAlignment="1" applyProtection="1">
      <alignment horizontal="left" vertical="center"/>
    </xf>
    <xf numFmtId="0" fontId="0" fillId="4" borderId="0" xfId="0" applyFill="1" applyAlignment="1" applyProtection="1">
      <alignment wrapText="1"/>
    </xf>
    <xf numFmtId="0" fontId="13" fillId="0" borderId="0" xfId="0" applyFont="1" applyFill="1" applyAlignment="1" applyProtection="1">
      <alignment wrapText="1"/>
    </xf>
    <xf numFmtId="0" fontId="0" fillId="0" borderId="0" xfId="0" applyFill="1" applyProtection="1"/>
    <xf numFmtId="0" fontId="0" fillId="4" borderId="0" xfId="0" quotePrefix="1" applyFill="1" applyProtection="1"/>
    <xf numFmtId="0" fontId="8" fillId="5" borderId="3" xfId="0" applyFont="1" applyFill="1" applyBorder="1" applyAlignment="1" applyProtection="1">
      <alignment horizontal="left" vertical="center" wrapText="1"/>
    </xf>
    <xf numFmtId="10" fontId="6" fillId="6" borderId="4" xfId="0" applyNumberFormat="1" applyFont="1" applyFill="1" applyBorder="1" applyProtection="1"/>
    <xf numFmtId="10" fontId="6" fillId="6" borderId="25" xfId="0" applyNumberFormat="1" applyFont="1" applyFill="1" applyBorder="1" applyProtection="1"/>
    <xf numFmtId="10" fontId="6" fillId="6" borderId="5" xfId="0" applyNumberFormat="1" applyFont="1" applyFill="1" applyBorder="1" applyProtection="1"/>
    <xf numFmtId="10" fontId="6" fillId="6" borderId="12" xfId="0" applyNumberFormat="1" applyFont="1" applyFill="1" applyBorder="1" applyProtection="1"/>
    <xf numFmtId="0" fontId="15" fillId="4" borderId="0" xfId="0" applyFont="1" applyFill="1" applyAlignment="1" applyProtection="1">
      <alignment horizontal="left"/>
    </xf>
    <xf numFmtId="0" fontId="16" fillId="4" borderId="0" xfId="0" applyFont="1" applyFill="1" applyProtection="1"/>
    <xf numFmtId="0" fontId="15" fillId="0" borderId="0" xfId="0" applyFont="1" applyFill="1" applyBorder="1" applyAlignment="1" applyProtection="1">
      <alignment horizontal="left"/>
    </xf>
    <xf numFmtId="0" fontId="17" fillId="4" borderId="0" xfId="0" applyFont="1" applyFill="1" applyProtection="1"/>
    <xf numFmtId="166" fontId="6" fillId="0" borderId="22" xfId="0" applyNumberFormat="1" applyFont="1" applyFill="1" applyBorder="1" applyAlignment="1" applyProtection="1">
      <alignment horizontal="right" vertical="center"/>
      <protection locked="0"/>
    </xf>
    <xf numFmtId="166" fontId="6" fillId="0" borderId="6" xfId="0" applyNumberFormat="1" applyFont="1" applyBorder="1" applyAlignment="1" applyProtection="1">
      <alignment horizontal="right" vertical="center"/>
      <protection locked="0"/>
    </xf>
    <xf numFmtId="0" fontId="6" fillId="4" borderId="27" xfId="0" applyFont="1" applyFill="1" applyBorder="1" applyProtection="1"/>
    <xf numFmtId="0" fontId="8" fillId="0" borderId="27" xfId="0" applyFont="1" applyFill="1" applyBorder="1" applyAlignment="1" applyProtection="1">
      <alignment horizontal="left"/>
    </xf>
    <xf numFmtId="0" fontId="6" fillId="0" borderId="27" xfId="0" applyFont="1" applyFill="1" applyBorder="1" applyProtection="1"/>
    <xf numFmtId="0" fontId="0" fillId="4" borderId="27" xfId="0" applyFill="1" applyBorder="1" applyProtection="1"/>
    <xf numFmtId="10" fontId="6" fillId="6" borderId="13" xfId="0" applyNumberFormat="1" applyFont="1" applyFill="1" applyBorder="1" applyProtection="1"/>
    <xf numFmtId="0" fontId="8" fillId="5" borderId="3" xfId="0" applyFont="1" applyFill="1" applyBorder="1" applyAlignment="1" applyProtection="1">
      <alignment vertical="center"/>
    </xf>
    <xf numFmtId="38" fontId="10" fillId="6" borderId="28" xfId="0" applyNumberFormat="1" applyFont="1" applyFill="1" applyBorder="1" applyAlignment="1" applyProtection="1">
      <alignment vertical="center"/>
    </xf>
    <xf numFmtId="38" fontId="9" fillId="0" borderId="28" xfId="0" applyNumberFormat="1" applyFont="1" applyFill="1" applyBorder="1" applyAlignment="1" applyProtection="1">
      <alignment vertical="center"/>
      <protection locked="0"/>
    </xf>
    <xf numFmtId="0" fontId="0" fillId="4" borderId="0" xfId="0" applyFill="1" applyAlignment="1" applyProtection="1">
      <alignment horizontal="right"/>
    </xf>
    <xf numFmtId="0" fontId="6" fillId="0" borderId="0" xfId="0" applyFont="1" applyAlignment="1" applyProtection="1">
      <alignment horizontal="right"/>
    </xf>
    <xf numFmtId="0" fontId="6" fillId="4" borderId="0" xfId="0" applyFont="1" applyFill="1" applyAlignment="1" applyProtection="1">
      <alignment horizontal="right"/>
    </xf>
    <xf numFmtId="0" fontId="2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6" fillId="5" borderId="8" xfId="0" applyFont="1" applyFill="1" applyBorder="1" applyAlignment="1" applyProtection="1">
      <alignment vertical="top"/>
    </xf>
    <xf numFmtId="49" fontId="0" fillId="0" borderId="0" xfId="0" applyNumberFormat="1"/>
    <xf numFmtId="0" fontId="6" fillId="0" borderId="7" xfId="0" applyFont="1" applyBorder="1" applyAlignment="1" applyProtection="1">
      <alignment horizontal="right" vertical="top" wrapText="1"/>
      <protection locked="0"/>
    </xf>
    <xf numFmtId="0" fontId="6" fillId="5" borderId="4" xfId="0" applyFont="1" applyFill="1" applyBorder="1" applyAlignment="1" applyProtection="1">
      <alignment vertical="top"/>
    </xf>
    <xf numFmtId="165" fontId="14" fillId="7" borderId="23" xfId="0" applyNumberFormat="1" applyFont="1" applyFill="1" applyBorder="1" applyAlignment="1" applyProtection="1">
      <alignment vertical="top"/>
      <protection locked="0"/>
    </xf>
    <xf numFmtId="0" fontId="6" fillId="5" borderId="5" xfId="0" applyFont="1" applyFill="1" applyBorder="1" applyAlignment="1" applyProtection="1">
      <alignment vertical="top"/>
    </xf>
    <xf numFmtId="165" fontId="14" fillId="7" borderId="24" xfId="0" applyNumberFormat="1" applyFont="1" applyFill="1" applyBorder="1" applyAlignment="1" applyProtection="1">
      <alignment vertical="top"/>
      <protection locked="0"/>
    </xf>
    <xf numFmtId="165" fontId="14" fillId="7" borderId="30" xfId="0" applyNumberFormat="1" applyFont="1" applyFill="1" applyBorder="1" applyAlignment="1" applyProtection="1">
      <alignment vertical="top"/>
      <protection locked="0"/>
    </xf>
    <xf numFmtId="0" fontId="8" fillId="5" borderId="3" xfId="0" applyFont="1" applyFill="1" applyBorder="1" applyAlignment="1" applyProtection="1">
      <alignment vertical="top"/>
    </xf>
    <xf numFmtId="0" fontId="19" fillId="4" borderId="0" xfId="0" applyFont="1" applyFill="1" applyAlignment="1" applyProtection="1">
      <alignment horizontal="right"/>
    </xf>
    <xf numFmtId="0" fontId="20" fillId="0" borderId="0" xfId="0" applyFont="1" applyAlignment="1" applyProtection="1">
      <alignment horizontal="center" wrapText="1"/>
    </xf>
    <xf numFmtId="0" fontId="1" fillId="5" borderId="29" xfId="0" applyFont="1" applyFill="1" applyBorder="1" applyAlignment="1" applyProtection="1">
      <alignment vertical="top" wrapText="1"/>
    </xf>
    <xf numFmtId="0" fontId="1" fillId="5" borderId="29" xfId="0" applyFont="1" applyFill="1" applyBorder="1" applyAlignment="1" applyProtection="1">
      <alignment vertical="center" wrapText="1"/>
    </xf>
    <xf numFmtId="0" fontId="8" fillId="5" borderId="13" xfId="0" applyFont="1" applyFill="1" applyBorder="1" applyAlignment="1" applyProtection="1">
      <alignment horizontal="center" vertical="center"/>
    </xf>
    <xf numFmtId="38" fontId="6" fillId="6" borderId="10" xfId="0" applyNumberFormat="1" applyFont="1" applyFill="1" applyBorder="1" applyAlignment="1" applyProtection="1">
      <alignment horizontal="right" vertical="top"/>
      <protection hidden="1"/>
    </xf>
    <xf numFmtId="10" fontId="6" fillId="6" borderId="4" xfId="0" applyNumberFormat="1" applyFont="1" applyFill="1" applyBorder="1" applyAlignment="1" applyProtection="1">
      <alignment vertical="top"/>
      <protection hidden="1"/>
    </xf>
    <xf numFmtId="10" fontId="6" fillId="6" borderId="25" xfId="0" applyNumberFormat="1" applyFont="1" applyFill="1" applyBorder="1" applyAlignment="1" applyProtection="1">
      <alignment vertical="top"/>
      <protection hidden="1"/>
    </xf>
    <xf numFmtId="10" fontId="6" fillId="6" borderId="5" xfId="0" applyNumberFormat="1" applyFont="1" applyFill="1" applyBorder="1" applyAlignment="1" applyProtection="1">
      <alignment vertical="top"/>
      <protection hidden="1"/>
    </xf>
    <xf numFmtId="38" fontId="6" fillId="6" borderId="29" xfId="0" applyNumberFormat="1" applyFont="1" applyFill="1" applyBorder="1" applyAlignment="1" applyProtection="1">
      <alignment horizontal="right" vertical="top"/>
      <protection hidden="1"/>
    </xf>
    <xf numFmtId="10" fontId="6" fillId="6" borderId="29" xfId="0" applyNumberFormat="1" applyFont="1" applyFill="1" applyBorder="1" applyAlignment="1" applyProtection="1">
      <alignment vertical="top"/>
      <protection hidden="1"/>
    </xf>
    <xf numFmtId="38" fontId="8" fillId="6" borderId="3" xfId="0" applyNumberFormat="1" applyFont="1" applyFill="1" applyBorder="1" applyAlignment="1" applyProtection="1">
      <alignment vertical="top"/>
      <protection hidden="1"/>
    </xf>
    <xf numFmtId="38" fontId="8" fillId="6" borderId="3" xfId="0" applyNumberFormat="1" applyFont="1" applyFill="1" applyBorder="1" applyAlignment="1" applyProtection="1">
      <alignment horizontal="right" vertical="top"/>
      <protection hidden="1"/>
    </xf>
    <xf numFmtId="10" fontId="6" fillId="6" borderId="3" xfId="0" applyNumberFormat="1" applyFont="1" applyFill="1" applyBorder="1" applyAlignment="1" applyProtection="1">
      <alignment vertical="top"/>
      <protection hidden="1"/>
    </xf>
    <xf numFmtId="38" fontId="10" fillId="6" borderId="31" xfId="0" applyNumberFormat="1" applyFont="1" applyFill="1" applyBorder="1" applyAlignment="1" applyProtection="1">
      <alignment vertical="top"/>
      <protection hidden="1"/>
    </xf>
    <xf numFmtId="38" fontId="1" fillId="6" borderId="10" xfId="0" applyNumberFormat="1" applyFont="1" applyFill="1" applyBorder="1" applyAlignment="1" applyProtection="1">
      <alignment horizontal="right" vertical="top"/>
      <protection hidden="1"/>
    </xf>
    <xf numFmtId="9" fontId="0" fillId="4" borderId="3" xfId="2" applyFont="1" applyFill="1" applyBorder="1" applyAlignment="1" applyProtection="1">
      <alignment horizontal="center" vertical="center"/>
      <protection locked="0"/>
    </xf>
    <xf numFmtId="38" fontId="6" fillId="6" borderId="10" xfId="0" applyNumberFormat="1" applyFont="1" applyFill="1" applyBorder="1" applyAlignment="1" applyProtection="1">
      <alignment vertical="center"/>
      <protection locked="0"/>
    </xf>
    <xf numFmtId="38" fontId="6" fillId="6" borderId="12" xfId="0" applyNumberFormat="1" applyFont="1" applyFill="1" applyBorder="1" applyAlignment="1" applyProtection="1">
      <alignment vertical="center"/>
      <protection locked="0"/>
    </xf>
    <xf numFmtId="0" fontId="8" fillId="8" borderId="32" xfId="0" applyFont="1" applyFill="1" applyBorder="1" applyAlignment="1" applyProtection="1">
      <alignment horizontal="center" vertical="center"/>
    </xf>
    <xf numFmtId="0" fontId="8" fillId="8" borderId="33" xfId="0" applyFont="1" applyFill="1" applyBorder="1" applyAlignment="1" applyProtection="1">
      <alignment horizontal="center" vertical="center"/>
    </xf>
    <xf numFmtId="0" fontId="8" fillId="8" borderId="31" xfId="0" applyFont="1" applyFill="1" applyBorder="1" applyAlignment="1" applyProtection="1">
      <alignment horizontal="center" vertical="center"/>
    </xf>
    <xf numFmtId="0" fontId="1" fillId="5" borderId="14" xfId="0" applyFont="1" applyFill="1" applyBorder="1" applyAlignment="1">
      <alignment horizontal="left" vertical="top" wrapText="1"/>
    </xf>
    <xf numFmtId="0" fontId="6" fillId="5" borderId="15" xfId="0" applyFont="1" applyFill="1" applyBorder="1" applyAlignment="1">
      <alignment horizontal="left" vertical="top" wrapText="1"/>
    </xf>
    <xf numFmtId="0" fontId="11" fillId="4" borderId="0" xfId="0" applyFont="1" applyFill="1" applyAlignment="1" applyProtection="1">
      <alignment horizontal="left"/>
    </xf>
    <xf numFmtId="0" fontId="12" fillId="4" borderId="14" xfId="0" applyFont="1" applyFill="1" applyBorder="1" applyAlignment="1" applyProtection="1">
      <alignment horizontal="left" vertical="top" wrapText="1"/>
      <protection locked="0"/>
    </xf>
    <xf numFmtId="0" fontId="12" fillId="4" borderId="26" xfId="0" applyFont="1" applyFill="1" applyBorder="1" applyAlignment="1" applyProtection="1">
      <alignment horizontal="left" vertical="top" wrapText="1"/>
      <protection locked="0"/>
    </xf>
    <xf numFmtId="0" fontId="12" fillId="4" borderId="16" xfId="0" applyFont="1" applyFill="1" applyBorder="1" applyAlignment="1" applyProtection="1">
      <alignment horizontal="left" vertical="top" wrapText="1"/>
      <protection locked="0"/>
    </xf>
    <xf numFmtId="0" fontId="12" fillId="4" borderId="0" xfId="0" applyFont="1" applyFill="1" applyBorder="1" applyAlignment="1" applyProtection="1">
      <alignment horizontal="left" vertical="top" wrapText="1"/>
      <protection locked="0"/>
    </xf>
    <xf numFmtId="0" fontId="12" fillId="4" borderId="18" xfId="0" applyFont="1" applyFill="1" applyBorder="1" applyAlignment="1" applyProtection="1">
      <alignment horizontal="left" vertical="top" wrapText="1"/>
      <protection locked="0"/>
    </xf>
    <xf numFmtId="0" fontId="12" fillId="4" borderId="27" xfId="0" applyFont="1" applyFill="1" applyBorder="1" applyAlignment="1" applyProtection="1">
      <alignment horizontal="left" vertical="top" wrapText="1"/>
      <protection locked="0"/>
    </xf>
    <xf numFmtId="0" fontId="12" fillId="4" borderId="15" xfId="0" applyFont="1" applyFill="1" applyBorder="1" applyAlignment="1" applyProtection="1">
      <alignment horizontal="left" vertical="top" wrapText="1"/>
      <protection locked="0"/>
    </xf>
    <xf numFmtId="0" fontId="12" fillId="4" borderId="17" xfId="0" applyFont="1" applyFill="1" applyBorder="1" applyAlignment="1" applyProtection="1">
      <alignment horizontal="left" vertical="top" wrapText="1"/>
      <protection locked="0"/>
    </xf>
    <xf numFmtId="0" fontId="12" fillId="4" borderId="19" xfId="0" applyFont="1" applyFill="1" applyBorder="1" applyAlignment="1" applyProtection="1">
      <alignment horizontal="left" vertical="top" wrapText="1"/>
      <protection locked="0"/>
    </xf>
    <xf numFmtId="0" fontId="8" fillId="5" borderId="14" xfId="0" applyFont="1" applyFill="1" applyBorder="1" applyAlignment="1">
      <alignment horizontal="left" vertical="top" wrapText="1"/>
    </xf>
    <xf numFmtId="0" fontId="6" fillId="5" borderId="26" xfId="0" applyFont="1" applyFill="1" applyBorder="1" applyAlignment="1">
      <alignment horizontal="left" vertical="top" wrapText="1"/>
    </xf>
    <xf numFmtId="0" fontId="22" fillId="4" borderId="14" xfId="0" applyFont="1" applyFill="1" applyBorder="1" applyAlignment="1" applyProtection="1">
      <alignment horizontal="left" vertical="top" wrapText="1"/>
    </xf>
    <xf numFmtId="0" fontId="22" fillId="4" borderId="15" xfId="0" applyFont="1" applyFill="1" applyBorder="1" applyAlignment="1" applyProtection="1">
      <alignment horizontal="left" vertical="top" wrapText="1"/>
    </xf>
    <xf numFmtId="0" fontId="22" fillId="4" borderId="16" xfId="0" applyFont="1" applyFill="1" applyBorder="1" applyAlignment="1" applyProtection="1">
      <alignment horizontal="left" vertical="top" wrapText="1"/>
    </xf>
    <xf numFmtId="0" fontId="22" fillId="4" borderId="17" xfId="0" applyFont="1" applyFill="1" applyBorder="1" applyAlignment="1" applyProtection="1">
      <alignment horizontal="left" vertical="top" wrapText="1"/>
    </xf>
    <xf numFmtId="0" fontId="22" fillId="4" borderId="18" xfId="0" applyFont="1" applyFill="1" applyBorder="1" applyAlignment="1" applyProtection="1">
      <alignment horizontal="left" vertical="top" wrapText="1"/>
    </xf>
    <xf numFmtId="0" fontId="22" fillId="4" borderId="19" xfId="0" applyFont="1" applyFill="1" applyBorder="1" applyAlignment="1" applyProtection="1">
      <alignment horizontal="left" vertical="top" wrapText="1"/>
    </xf>
    <xf numFmtId="0" fontId="22" fillId="4" borderId="26" xfId="0" applyFont="1" applyFill="1" applyBorder="1" applyAlignment="1" applyProtection="1">
      <alignment horizontal="left" vertical="top" wrapText="1"/>
    </xf>
    <xf numFmtId="0" fontId="22" fillId="4" borderId="0" xfId="0" applyFont="1" applyFill="1" applyBorder="1" applyAlignment="1" applyProtection="1">
      <alignment horizontal="left" vertical="top" wrapText="1"/>
    </xf>
    <xf numFmtId="0" fontId="22" fillId="4" borderId="27" xfId="0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4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9" formatCode="dd/mm/yyyy"/>
    </dxf>
    <dxf>
      <numFmt numFmtId="19" formatCode="dd/mm/yyyy"/>
    </dxf>
    <dxf>
      <numFmt numFmtId="8" formatCode="#,##0.00\ _k_r_.;[Red]\-#,##0.00\ _k_r_."/>
    </dxf>
    <dxf>
      <numFmt numFmtId="8" formatCode="#,##0.00\ _k_r_.;[Red]\-#,##0.00\ _k_r_.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;[Red]\-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;[Red]\-#,##0.0"/>
    </dxf>
    <dxf>
      <numFmt numFmtId="0" formatCode="General"/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AAC4CA"/>
        </patternFill>
      </fill>
    </dxf>
    <dxf>
      <fill>
        <patternFill>
          <bgColor theme="7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AAC4CA"/>
      <color rgb="FF03A7AA"/>
      <color rgb="FF9C0006"/>
      <color rgb="FFFFC7CE"/>
      <color rgb="FF4D4D4D"/>
      <color rgb="FF1C1C1C"/>
      <color rgb="FF333333"/>
      <color rgb="FF03B3AC"/>
      <color rgb="FFFF576B"/>
      <color rgb="FF00A6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1065960</xdr:colOff>
      <xdr:row>0</xdr:row>
      <xdr:rowOff>2611437</xdr:rowOff>
    </xdr:from>
    <xdr:to>
      <xdr:col>6</xdr:col>
      <xdr:colOff>46690</xdr:colOff>
      <xdr:row>0</xdr:row>
      <xdr:rowOff>2880379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471523" y="2611437"/>
          <a:ext cx="790480" cy="268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da-DK" sz="900">
              <a:solidFill>
                <a:schemeClr val="tx1">
                  <a:lumMod val="85000"/>
                  <a:lumOff val="15000"/>
                </a:schemeClr>
              </a:solidFill>
            </a:rPr>
            <a:t>ver. 2.0</a:t>
          </a:r>
        </a:p>
      </xdr:txBody>
    </xdr:sp>
    <xdr:clientData/>
  </xdr:twoCellAnchor>
  <xdr:twoCellAnchor editAs="oneCell">
    <xdr:from>
      <xdr:col>2</xdr:col>
      <xdr:colOff>795617</xdr:colOff>
      <xdr:row>1</xdr:row>
      <xdr:rowOff>99263</xdr:rowOff>
    </xdr:from>
    <xdr:to>
      <xdr:col>4</xdr:col>
      <xdr:colOff>1299882</xdr:colOff>
      <xdr:row>3</xdr:row>
      <xdr:rowOff>104901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588" y="2452498"/>
          <a:ext cx="3529853" cy="5323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11205</xdr:rowOff>
    </xdr:from>
    <xdr:to>
      <xdr:col>3</xdr:col>
      <xdr:colOff>0</xdr:colOff>
      <xdr:row>0</xdr:row>
      <xdr:rowOff>2587624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431B2AF-3DA9-4CB8-A973-38C4C0871B1C}"/>
            </a:ext>
          </a:extLst>
        </xdr:cNvPr>
        <xdr:cNvSpPr/>
      </xdr:nvSpPr>
      <xdr:spPr>
        <a:xfrm>
          <a:off x="0" y="11205"/>
          <a:ext cx="4889500" cy="2576419"/>
        </a:xfrm>
        <a:prstGeom prst="rect">
          <a:avLst/>
        </a:prstGeom>
        <a:solidFill>
          <a:srgbClr val="00A6AA"/>
        </a:solidFill>
        <a:ln w="6350">
          <a:solidFill>
            <a:srgbClr val="03A7AA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72000" rtlCol="0" anchor="t"/>
        <a:lstStyle/>
        <a:p>
          <a:pPr algn="l"/>
          <a:r>
            <a:rPr lang="da-DK" sz="1000" b="1" u="none">
              <a:solidFill>
                <a:sysClr val="windowText" lastClr="000000"/>
              </a:solidFill>
            </a:rPr>
            <a:t>Vejledning</a:t>
          </a:r>
          <a:endParaRPr lang="da-DK" sz="1000" b="1">
            <a:solidFill>
              <a:sysClr val="windowText" lastClr="000000"/>
            </a:solidFill>
          </a:endParaRPr>
        </a:p>
        <a:p>
          <a:pPr algn="l">
            <a:spcAft>
              <a:spcPts val="600"/>
            </a:spcAft>
          </a:pPr>
          <a:r>
            <a:rPr lang="da-DK" sz="1000" b="1">
              <a:solidFill>
                <a:sysClr val="windowText" lastClr="000000"/>
              </a:solidFill>
            </a:rPr>
            <a:t>1. Virksomhed: </a:t>
          </a:r>
          <a:r>
            <a:rPr lang="da-DK" sz="1000" b="0">
              <a:solidFill>
                <a:sysClr val="windowText" lastClr="000000"/>
              </a:solidFill>
            </a:rPr>
            <a:t>Indtast virksomhedens navn, CVR-nummer og projektets start- og slutdato.</a:t>
          </a:r>
        </a:p>
        <a:p>
          <a:pPr algn="l">
            <a:spcAft>
              <a:spcPts val="600"/>
            </a:spcAft>
          </a:pPr>
          <a:r>
            <a:rPr lang="da-DK" sz="1000" b="1">
              <a:solidFill>
                <a:sysClr val="windowText" lastClr="000000"/>
              </a:solidFill>
            </a:rPr>
            <a:t>2. Budget: </a:t>
          </a:r>
        </a:p>
        <a:p>
          <a:pPr algn="l">
            <a:spcAft>
              <a:spcPts val="600"/>
            </a:spcAft>
          </a:pPr>
          <a:r>
            <a:rPr lang="da-DK" sz="1000" b="1">
              <a:solidFill>
                <a:sysClr val="windowText" lastClr="000000"/>
              </a:solidFill>
            </a:rPr>
            <a:t>-</a:t>
          </a:r>
          <a:r>
            <a:rPr lang="da-DK" sz="1000" b="0">
              <a:solidFill>
                <a:sysClr val="windowText" lastClr="000000"/>
              </a:solidFill>
            </a:rPr>
            <a:t>Angiv under ’Samlet budget’ det forventede beløb for hver budgetpost.  </a:t>
          </a:r>
        </a:p>
        <a:p>
          <a:pPr algn="l">
            <a:spcAft>
              <a:spcPts val="600"/>
            </a:spcAft>
          </a:pPr>
          <a:r>
            <a:rPr lang="da-DK" sz="1000" b="0">
              <a:solidFill>
                <a:sysClr val="windowText" lastClr="000000"/>
              </a:solidFill>
            </a:rPr>
            <a:t>-Bemærk at løn (til nye og eksisterende medarbejdere) kun gælder ansatte, der indgår ATP-regnskab eller ejere (minimum 5 % dokumenteret ejerskab). </a:t>
          </a:r>
        </a:p>
        <a:p>
          <a:pPr algn="l">
            <a:spcAft>
              <a:spcPts val="600"/>
            </a:spcAft>
          </a:pPr>
          <a:r>
            <a:rPr lang="da-DK" sz="1000" b="0">
              <a:solidFill>
                <a:sysClr val="windowText" lastClr="000000"/>
              </a:solidFill>
            </a:rPr>
            <a:t>-Angiv den ønskede investeringsprocent (max. 35%) i feltet ”Jeg ønsker at ansøge om en investeringsprocent på” (celle E7). Den ansøgte IF-investering beregnes </a:t>
          </a:r>
          <a:r>
            <a:rPr lang="da-DK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automatisk</a:t>
          </a:r>
          <a:r>
            <a:rPr lang="da-DK" sz="1000" b="0">
              <a:solidFill>
                <a:sysClr val="windowText" lastClr="000000"/>
              </a:solidFill>
            </a:rPr>
            <a:t>. Husk at det samlede budget og opgørelsen af udgifter til delaktiviteterne i aktivitetsplanen skal summe op til samme beløb. </a:t>
          </a:r>
        </a:p>
        <a:p>
          <a:pPr algn="l">
            <a:spcAft>
              <a:spcPts val="600"/>
            </a:spcAft>
          </a:pPr>
          <a:r>
            <a:rPr lang="da-DK" sz="1000" b="1">
              <a:solidFill>
                <a:sysClr val="windowText" lastClr="000000"/>
              </a:solidFill>
            </a:rPr>
            <a:t>3. Leverandører</a:t>
          </a:r>
          <a:r>
            <a:rPr lang="da-DK" sz="1000" b="0">
              <a:solidFill>
                <a:sysClr val="windowText" lastClr="000000"/>
              </a:solidFill>
            </a:rPr>
            <a:t>: Har du budgetteret med udgifter til vidensleverandører og/eller andre udgifter til materialer og udstyr, skal du i tekstboks 3a  og/eller 3b, skrive navnet på leverandøren og i parentes angive det forventede beløb.</a:t>
          </a:r>
        </a:p>
      </xdr:txBody>
    </xdr:sp>
    <xdr:clientData/>
  </xdr:twoCellAnchor>
  <xdr:twoCellAnchor>
    <xdr:from>
      <xdr:col>3</xdr:col>
      <xdr:colOff>44824</xdr:colOff>
      <xdr:row>0</xdr:row>
      <xdr:rowOff>4201</xdr:rowOff>
    </xdr:from>
    <xdr:to>
      <xdr:col>6</xdr:col>
      <xdr:colOff>44824</xdr:colOff>
      <xdr:row>0</xdr:row>
      <xdr:rowOff>2587625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AC973EB-84AF-4873-B38B-26EC763924CE}"/>
            </a:ext>
          </a:extLst>
        </xdr:cNvPr>
        <xdr:cNvSpPr/>
      </xdr:nvSpPr>
      <xdr:spPr>
        <a:xfrm>
          <a:off x="4930589" y="4201"/>
          <a:ext cx="3316941" cy="2583424"/>
        </a:xfrm>
        <a:prstGeom prst="rect">
          <a:avLst/>
        </a:prstGeom>
        <a:solidFill>
          <a:srgbClr val="00A6AA"/>
        </a:solidFill>
        <a:ln w="6350">
          <a:solidFill>
            <a:srgbClr val="03A7AA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72000" rtlCol="0" anchor="t"/>
        <a:lstStyle/>
        <a:p>
          <a:pPr algn="l"/>
          <a:r>
            <a:rPr lang="da-DK" sz="1000" b="1" u="none">
              <a:solidFill>
                <a:sysClr val="windowText" lastClr="000000"/>
              </a:solidFill>
            </a:rPr>
            <a:t>Support</a:t>
          </a:r>
        </a:p>
        <a:p>
          <a:pPr algn="l">
            <a:spcAft>
              <a:spcPts val="300"/>
            </a:spcAft>
          </a:pPr>
          <a:r>
            <a:rPr lang="da-DK" sz="1000">
              <a:solidFill>
                <a:sysClr val="windowText" lastClr="000000"/>
              </a:solidFill>
            </a:rPr>
            <a:t>Hvis du har</a:t>
          </a:r>
          <a:r>
            <a:rPr lang="da-DK" sz="1000" baseline="0">
              <a:solidFill>
                <a:sysClr val="windowText" lastClr="000000"/>
              </a:solidFill>
            </a:rPr>
            <a:t> spørgsmål til udfyldelsen af budgettet, skal du kontakte Innovationsfonden, telefon 6190 5000, oekonomiogregnskab@innofond.dk. </a:t>
          </a:r>
        </a:p>
        <a:p>
          <a:pPr algn="l">
            <a:spcAft>
              <a:spcPts val="300"/>
            </a:spcAft>
          </a:pPr>
          <a:r>
            <a:rPr lang="da-DK" sz="1000" baseline="0">
              <a:solidFill>
                <a:sysClr val="windowText" lastClr="000000"/>
              </a:solidFill>
            </a:rPr>
            <a:t>Hvis  du oplever tekniske problemer med at uploade budgettet til e-grant, skal du sende budgettet (i xlsx format) til e-grant support, </a:t>
          </a:r>
          <a:r>
            <a:rPr lang="da-DK" sz="1000" u="sng" baseline="0">
              <a:solidFill>
                <a:sysClr val="windowText" lastClr="000000"/>
              </a:solidFill>
            </a:rPr>
            <a:t>support.e-grant@ufm.dk</a:t>
          </a:r>
          <a:r>
            <a:rPr lang="da-DK" sz="1000" baseline="0">
              <a:solidFill>
                <a:sysClr val="windowText" lastClr="000000"/>
              </a:solidFill>
            </a:rPr>
            <a:t>, med information om hvilket regnearksprogram, du anvender. Vedlæg også gerne et skærmbillede af problemet i e-mailen. </a:t>
          </a:r>
          <a:br>
            <a:rPr lang="da-DK" sz="1000" baseline="0">
              <a:solidFill>
                <a:sysClr val="windowText" lastClr="000000"/>
              </a:solidFill>
            </a:rPr>
          </a:br>
          <a:r>
            <a:rPr lang="da-DK" sz="1000" baseline="0">
              <a:solidFill>
                <a:sysClr val="windowText" lastClr="000000"/>
              </a:solidFill>
            </a:rPr>
            <a:t>E-grant support vil derefter teknisk tilrette budgettet, så det kan uploades. Det tilrettede budget vil blive returneret til dig. </a:t>
          </a:r>
        </a:p>
        <a:p>
          <a:pPr algn="l"/>
          <a:r>
            <a:rPr lang="da-DK" sz="1000" baseline="0">
              <a:solidFill>
                <a:sysClr val="windowText" lastClr="000000"/>
              </a:solidFill>
            </a:rPr>
            <a:t>Du kan også kontakte e-grant support på telefon 3392 9190.</a:t>
          </a:r>
          <a:br>
            <a:rPr lang="da-DK" sz="1000" baseline="0">
              <a:solidFill>
                <a:sysClr val="windowText" lastClr="000000"/>
              </a:solidFill>
            </a:rPr>
          </a:br>
          <a:r>
            <a:rPr lang="da-DK" sz="1000" baseline="0">
              <a:solidFill>
                <a:sysClr val="windowText" lastClr="000000"/>
              </a:solidFill>
            </a:rPr>
            <a:t>(hverdage kl. 9-12).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208991</xdr:colOff>
      <xdr:row>1</xdr:row>
      <xdr:rowOff>106456</xdr:rowOff>
    </xdr:from>
    <xdr:to>
      <xdr:col>5</xdr:col>
      <xdr:colOff>85726</xdr:colOff>
      <xdr:row>4</xdr:row>
      <xdr:rowOff>67271</xdr:rowOff>
    </xdr:to>
    <xdr:pic>
      <xdr:nvPicPr>
        <xdr:cNvPr id="3" name="Billed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844" y="296956"/>
          <a:ext cx="3529853" cy="5323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Partnere" displayName="Partnere" ref="A1:Z2" totalsRowShown="0">
  <autoFilter ref="A1:Z2" xr:uid="{00000000-0009-0000-0100-000005000000}"/>
  <tableColumns count="26">
    <tableColumn id="23" xr3:uid="{00000000-0010-0000-0000-000017000000}" name="Id"/>
    <tableColumn id="25" xr3:uid="{00000000-0010-0000-0000-000019000000}" name="Partnertype" dataDxfId="31">
      <calculatedColumnFormula>IF(INDIRECT("'Partner "&amp;Partnere[Id]&amp;"'!$B$2")="","",VLOOKUP(INDIRECT("'Partner "&amp;Partnere[Id]&amp;"'!$B$2"),#REF!,2,FALSE))</calculatedColumnFormula>
    </tableColumn>
    <tableColumn id="22" xr3:uid="{00000000-0010-0000-0000-000016000000}" name="IsOrganisation" dataDxfId="30">
      <calculatedColumnFormula>IF(INDIRECT("'Partner "&amp;Partnere[Id]&amp;"'!$B$3")="",FALSE,VLOOKUP(INDIRECT("'Partner "&amp;Partnere[Id]&amp;"'!$B$3"),#REF!,2,FALSE))</calculatedColumnFormula>
    </tableColumn>
    <tableColumn id="24" xr3:uid="{00000000-0010-0000-0000-000018000000}" name="SystemSagRolleEnum" dataDxfId="29">
      <calculatedColumnFormula>IF(INDIRECT("'Partner "&amp;Partnere[Id]&amp;"'!$B$4")="","",VLOOKUP(INDIRECT("'Partner "&amp;Partnere[Id]&amp;"'!$B$4"),#REF!,2,FALSE))</calculatedColumnFormula>
    </tableColumn>
    <tableColumn id="3" xr3:uid="{00000000-0010-0000-0000-000003000000}" name="CreateSagspartOnApplication" dataDxfId="28">
      <calculatedColumnFormula>IF(INDIRECT("'Partner "&amp;Partnere[Id]&amp;"'!$B$5")="",FALSE,VLOOKUP(INDIRECT("'Partner "&amp;Partnere[Id]&amp;"'!$B$5"),#REF!,2,FALSE))</calculatedColumnFormula>
    </tableColumn>
    <tableColumn id="4" xr3:uid="{00000000-0010-0000-0000-000004000000}" name="Navn" dataDxfId="27">
      <calculatedColumnFormula>IF(Budget!$B$2="", "", LEFT(TRIM(Budget!$B$2), 500))</calculatedColumnFormula>
    </tableColumn>
    <tableColumn id="1" xr3:uid="{00000000-0010-0000-0000-000001000000}" name="Afdeling"/>
    <tableColumn id="5" xr3:uid="{00000000-0010-0000-0000-000005000000}" name="CPRnr" dataDxfId="26">
      <calculatedColumnFormula>IF(INDIRECT("'Partner "&amp;Partnere[Id]&amp;"'!$B$6")="", "", SUBSTITUTE(SUBSTITUTE(INDIRECT("'Partner "&amp;Partnere[Id]&amp;"'!$B$6"), "-", ""), " ", ""))</calculatedColumnFormula>
    </tableColumn>
    <tableColumn id="6" xr3:uid="{00000000-0010-0000-0000-000006000000}" name="CVRnr" dataDxfId="25">
      <calculatedColumnFormula>IF(Budget!$B$3="", "", Budget!$B$3)</calculatedColumnFormula>
    </tableColumn>
    <tableColumn id="7" xr3:uid="{00000000-0010-0000-0000-000007000000}" name="Pnr" dataDxfId="24"/>
    <tableColumn id="8" xr3:uid="{00000000-0010-0000-0000-000008000000}" name="VATnr" dataDxfId="23"/>
    <tableColumn id="9" xr3:uid="{00000000-0010-0000-0000-000009000000}" name="Adresselinje1" dataDxfId="22"/>
    <tableColumn id="10" xr3:uid="{00000000-0010-0000-0000-00000A000000}" name="Adresselinje2" dataDxfId="21"/>
    <tableColumn id="11" xr3:uid="{00000000-0010-0000-0000-00000B000000}" name="Adresselinje3" dataDxfId="20"/>
    <tableColumn id="12" xr3:uid="{00000000-0010-0000-0000-00000C000000}" name="Adresselinje4" dataDxfId="19"/>
    <tableColumn id="13" xr3:uid="{00000000-0010-0000-0000-00000D000000}" name="Postnr" dataDxfId="18"/>
    <tableColumn id="14" xr3:uid="{00000000-0010-0000-0000-00000E000000}" name="Bynavn" dataDxfId="17"/>
    <tableColumn id="15" xr3:uid="{00000000-0010-0000-0000-00000F000000}" name="Landekode" dataDxfId="16"/>
    <tableColumn id="16" xr3:uid="{00000000-0010-0000-0000-000010000000}" name="Email" dataDxfId="15"/>
    <tableColumn id="17" xr3:uid="{00000000-0010-0000-0000-000011000000}" name="Overheadsats" dataDxfId="14"/>
    <tableColumn id="19" xr3:uid="{00000000-0010-0000-0000-000013000000}" name="Organisationstype" dataDxfId="13"/>
    <tableColumn id="20" xr3:uid="{00000000-0010-0000-0000-000014000000}" name="Organisationsstoerrelse" dataDxfId="12"/>
    <tableColumn id="21" xr3:uid="{00000000-0010-0000-0000-000015000000}" name="Budgetmodel" dataDxfId="11"/>
    <tableColumn id="2" xr3:uid="{00000000-0010-0000-0000-000002000000}" name="Aktivitetstype" dataDxfId="10"/>
    <tableColumn id="18" xr3:uid="{00000000-0010-0000-0000-000012000000}" name="Kostfaktor" dataDxfId="9"/>
    <tableColumn id="26" xr3:uid="{00000000-0010-0000-0000-00001A000000}" name="Timetaks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oster" displayName="Poster" ref="A1:O9" totalsRowShown="0">
  <autoFilter ref="A1:O9" xr:uid="{00000000-0009-0000-0100-000006000000}"/>
  <tableColumns count="15">
    <tableColumn id="1" xr3:uid="{00000000-0010-0000-0100-000001000000}" name="PartnerId"/>
    <tableColumn id="2" xr3:uid="{00000000-0010-0000-0100-000002000000}" name="Beloeb" dataDxfId="7">
      <calculatedColumnFormula>IF(Budget!B9="", "", Budget!B9)</calculatedColumnFormula>
    </tableColumn>
    <tableColumn id="3" xr3:uid="{00000000-0010-0000-0100-000003000000}" name="Finansieringstype"/>
    <tableColumn id="4" xr3:uid="{00000000-0010-0000-0100-000004000000}" name="OmkostningsartKode"/>
    <tableColumn id="5" xr3:uid="{00000000-0010-0000-0100-000005000000}" name="EnhedstypeKode"/>
    <tableColumn id="6" xr3:uid="{00000000-0010-0000-0100-000006000000}" name="Enhedsantal"/>
    <tableColumn id="7" xr3:uid="{00000000-0010-0000-0100-000007000000}" name="Enhedspris" dataDxfId="6"/>
    <tableColumn id="8" xr3:uid="{00000000-0010-0000-0100-000008000000}" name="PeriodeStartdato" dataDxfId="5">
      <calculatedColumnFormula>IF(Projekstart="", "", Projekstart)</calculatedColumnFormula>
    </tableColumn>
    <tableColumn id="9" xr3:uid="{00000000-0010-0000-0100-000009000000}" name="PeriodeSlutdato" dataDxfId="4">
      <calculatedColumnFormula>IF(Projektslut="", "", Projektslut)</calculatedColumnFormula>
    </tableColumn>
    <tableColumn id="10" xr3:uid="{00000000-0010-0000-0100-00000A000000}" name="Specifikation" dataDxfId="3">
      <calculatedColumnFormula>Budget!A15</calculatedColumnFormula>
    </tableColumn>
    <tableColumn id="11" xr3:uid="{00000000-0010-0000-0100-00000B000000}" name="Arbejdspakke"/>
    <tableColumn id="12" xr3:uid="{00000000-0010-0000-0100-00000C000000}" name="AggregeretPost"/>
    <tableColumn id="13" xr3:uid="{00000000-0010-0000-0100-00000D000000}" name="Fornavn"/>
    <tableColumn id="14" xr3:uid="{00000000-0010-0000-0100-00000E000000}" name="Efternavn"/>
    <tableColumn id="15" xr3:uid="{00000000-0010-0000-0100-00000F000000}" name="Re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OmkostningsarterTabel" displayName="OmkostningsarterTabel" ref="A1:B5" totalsRowShown="0">
  <autoFilter ref="A1:B5" xr:uid="{00000000-0009-0000-0100-000008000000}"/>
  <tableColumns count="2">
    <tableColumn id="1" xr3:uid="{00000000-0010-0000-0200-000001000000}" name="Omkostningsart"/>
    <tableColumn id="2" xr3:uid="{00000000-0010-0000-0200-000002000000}" name="Kod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B2" totalsRowShown="0" dataDxfId="2">
  <autoFilter ref="A1:B2" xr:uid="{00000000-0009-0000-0100-000001000000}"/>
  <tableColumns count="2">
    <tableColumn id="1" xr3:uid="{00000000-0010-0000-0300-000001000000}" name="Navn" dataDxfId="1"/>
    <tableColumn id="2" xr3:uid="{00000000-0010-0000-0300-000002000000}" name="Vers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2"/>
  <sheetViews>
    <sheetView showGridLines="0" tabSelected="1" zoomScale="85" zoomScaleNormal="85" zoomScaleSheetLayoutView="100" workbookViewId="0">
      <selection activeCell="B2" sqref="B2"/>
    </sheetView>
  </sheetViews>
  <sheetFormatPr defaultColWidth="9.140625" defaultRowHeight="15" x14ac:dyDescent="0.25"/>
  <cols>
    <col min="1" max="1" width="28.28515625" style="10" customWidth="1"/>
    <col min="2" max="2" width="22.28515625" style="10" customWidth="1"/>
    <col min="3" max="3" width="22.7109375" style="10" customWidth="1"/>
    <col min="4" max="4" width="22.7109375" style="64" customWidth="1"/>
    <col min="5" max="5" width="20.7109375" style="10" customWidth="1"/>
    <col min="6" max="6" width="6.42578125" style="10" customWidth="1"/>
    <col min="7" max="16384" width="9.140625" style="10"/>
  </cols>
  <sheetData>
    <row r="1" spans="1:22" ht="264.75" customHeight="1" thickBot="1" x14ac:dyDescent="0.3">
      <c r="A1" s="48" t="s">
        <v>67</v>
      </c>
      <c r="B1" s="75" t="s">
        <v>79</v>
      </c>
      <c r="C1" s="9"/>
      <c r="D1" s="59"/>
      <c r="E1" s="9"/>
      <c r="F1" s="74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2"/>
      <c r="S1" s="9"/>
      <c r="T1" s="9"/>
      <c r="U1" s="9"/>
      <c r="V1" s="9"/>
    </row>
    <row r="2" spans="1:22" ht="26.25" customHeight="1" x14ac:dyDescent="0.25">
      <c r="A2" s="65" t="s">
        <v>71</v>
      </c>
      <c r="B2" s="67"/>
      <c r="C2" s="15"/>
      <c r="D2" s="6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25">
      <c r="A3" s="17" t="s">
        <v>38</v>
      </c>
      <c r="B3" s="32"/>
      <c r="C3" s="15"/>
      <c r="D3" s="6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25">
      <c r="A4" s="17" t="s">
        <v>72</v>
      </c>
      <c r="B4" s="49"/>
      <c r="C4" s="15"/>
      <c r="D4" s="6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5.75" thickBot="1" x14ac:dyDescent="0.3">
      <c r="A5" s="18" t="s">
        <v>73</v>
      </c>
      <c r="B5" s="50"/>
      <c r="C5" s="15"/>
      <c r="D5" s="6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24.95" customHeight="1" thickBot="1" x14ac:dyDescent="0.3">
      <c r="B6" s="15"/>
      <c r="C6" s="15"/>
      <c r="D6" s="6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24.95" customHeight="1" thickBot="1" x14ac:dyDescent="0.3">
      <c r="A7" s="48" t="s">
        <v>68</v>
      </c>
      <c r="B7" s="93" t="s">
        <v>82</v>
      </c>
      <c r="C7" s="94"/>
      <c r="D7" s="95"/>
      <c r="E7" s="90">
        <v>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2.25" customHeight="1" thickBot="1" x14ac:dyDescent="0.3">
      <c r="A8" s="19" t="s">
        <v>48</v>
      </c>
      <c r="B8" s="78" t="s">
        <v>74</v>
      </c>
      <c r="C8" s="78" t="s">
        <v>78</v>
      </c>
      <c r="D8" s="78" t="s">
        <v>47</v>
      </c>
      <c r="E8" s="40" t="s">
        <v>83</v>
      </c>
      <c r="F8" s="3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5">
      <c r="A9" s="68" t="s">
        <v>49</v>
      </c>
      <c r="B9" s="69"/>
      <c r="C9" s="89" t="str">
        <f>IF(OR(B9="",$E$7=""),"",ROUND($E$7*B9,0))</f>
        <v/>
      </c>
      <c r="D9" s="79" t="str">
        <f>IF(B9="", "", ROUND(B9-IF(C9="", 0, C9),0))</f>
        <v/>
      </c>
      <c r="E9" s="80" t="str">
        <f>IFERROR(C9/B9,"")</f>
        <v/>
      </c>
      <c r="F9" s="98"/>
      <c r="G9" s="98"/>
      <c r="H9" s="98"/>
      <c r="I9" s="98"/>
      <c r="J9" s="9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5">
      <c r="A10" s="70" t="s">
        <v>77</v>
      </c>
      <c r="B10" s="71"/>
      <c r="C10" s="89" t="str">
        <f>IF(OR(B10="",$E$7=""),"",ROUND($E$7*B10,0))</f>
        <v/>
      </c>
      <c r="D10" s="79" t="str">
        <f>IF(B10="", "", ROUND(B10-IF(C10="", 0, C10),0))</f>
        <v/>
      </c>
      <c r="E10" s="81" t="str">
        <f t="shared" ref="E10:E12" si="0">IFERROR(C10/B10,"")</f>
        <v/>
      </c>
      <c r="F10" s="98"/>
      <c r="G10" s="98"/>
      <c r="H10" s="98"/>
      <c r="I10" s="98"/>
      <c r="J10" s="9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70" t="s">
        <v>85</v>
      </c>
      <c r="B11" s="71"/>
      <c r="C11" s="89" t="str">
        <f>IF(OR(B11="",$E$7=""),"",ROUND($E$7*B11,0))</f>
        <v/>
      </c>
      <c r="D11" s="79" t="str">
        <f>IF(B11="", "", ROUND(B11-IF(C11="", 0, C11),0))</f>
        <v/>
      </c>
      <c r="E11" s="82" t="str">
        <f t="shared" si="0"/>
        <v/>
      </c>
      <c r="F11" s="98"/>
      <c r="G11" s="98"/>
      <c r="H11" s="98"/>
      <c r="I11" s="98"/>
      <c r="J11" s="9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26.25" thickBot="1" x14ac:dyDescent="0.3">
      <c r="A12" s="76" t="s">
        <v>80</v>
      </c>
      <c r="B12" s="72"/>
      <c r="C12" s="89" t="str">
        <f>IF(OR(B12="",$E$7=""),"",ROUND($E$7*B12,0))</f>
        <v/>
      </c>
      <c r="D12" s="83" t="str">
        <f>IF(B12="", "", ROUND(B12-IF(C12="", 0, C12),0))</f>
        <v/>
      </c>
      <c r="E12" s="84" t="str">
        <f t="shared" si="0"/>
        <v/>
      </c>
      <c r="F12" s="98"/>
      <c r="G12" s="98"/>
      <c r="H12" s="98"/>
      <c r="I12" s="98"/>
      <c r="J12" s="9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ht="15.75" thickBot="1" x14ac:dyDescent="0.3">
      <c r="A13" s="73" t="s">
        <v>53</v>
      </c>
      <c r="B13" s="88" t="str">
        <f>IF(SUM(B9:B12)=0, "", SUM(B9:B12))</f>
        <v/>
      </c>
      <c r="C13" s="85" t="str">
        <f>IF(SUM(C9:C12)=0, "", SUM(C9:C12))</f>
        <v/>
      </c>
      <c r="D13" s="86" t="str">
        <f>IF(SUM(D9:D12)=0, "", SUM(D9:D12))</f>
        <v/>
      </c>
      <c r="E13" s="87" t="str">
        <f>IF(OR(B13="", B13=0), "", IF(C13="", 0, C13)/B13)</f>
        <v/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5">
      <c r="A14" s="36"/>
      <c r="B14" s="36"/>
      <c r="C14" s="27"/>
      <c r="D14" s="62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24.95" customHeight="1" thickBot="1" x14ac:dyDescent="0.3">
      <c r="A15" s="45" t="s">
        <v>69</v>
      </c>
      <c r="B15" s="46"/>
      <c r="C15" s="47" t="s">
        <v>70</v>
      </c>
      <c r="D15" s="63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120.75" customHeight="1" thickBot="1" x14ac:dyDescent="0.3">
      <c r="A16" s="96" t="s">
        <v>87</v>
      </c>
      <c r="B16" s="97"/>
      <c r="C16" s="96" t="s">
        <v>88</v>
      </c>
      <c r="D16" s="97"/>
      <c r="E16" s="9"/>
      <c r="F16" s="37"/>
      <c r="G16" s="37"/>
      <c r="H16" s="3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2" ht="15" customHeight="1" x14ac:dyDescent="0.25">
      <c r="A17" s="99" t="s">
        <v>86</v>
      </c>
      <c r="B17" s="100"/>
      <c r="C17" s="99" t="s">
        <v>66</v>
      </c>
      <c r="D17" s="105"/>
      <c r="E17" s="9"/>
      <c r="F17" s="37"/>
      <c r="G17" s="37"/>
      <c r="H17" s="3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2" x14ac:dyDescent="0.25">
      <c r="A18" s="101"/>
      <c r="B18" s="102"/>
      <c r="C18" s="101"/>
      <c r="D18" s="106"/>
      <c r="E18" s="9"/>
      <c r="F18" s="37"/>
      <c r="G18" s="37"/>
      <c r="H18" s="3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2" x14ac:dyDescent="0.25">
      <c r="A19" s="101"/>
      <c r="B19" s="102"/>
      <c r="C19" s="101"/>
      <c r="D19" s="106"/>
      <c r="E19" s="9"/>
      <c r="F19" s="37"/>
      <c r="G19" s="37"/>
      <c r="H19" s="3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2" x14ac:dyDescent="0.25">
      <c r="A20" s="101"/>
      <c r="B20" s="102"/>
      <c r="C20" s="101"/>
      <c r="D20" s="106"/>
      <c r="E20" s="9"/>
      <c r="F20" s="37"/>
      <c r="G20" s="37"/>
      <c r="H20" s="3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2" x14ac:dyDescent="0.25">
      <c r="A21" s="101"/>
      <c r="B21" s="102"/>
      <c r="C21" s="101"/>
      <c r="D21" s="106"/>
      <c r="E21" s="9"/>
      <c r="F21" s="37"/>
      <c r="G21" s="37"/>
      <c r="H21" s="36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2" x14ac:dyDescent="0.25">
      <c r="A22" s="101"/>
      <c r="B22" s="102"/>
      <c r="C22" s="101"/>
      <c r="D22" s="106"/>
      <c r="E22" s="9"/>
      <c r="F22" s="38"/>
      <c r="G22" s="3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101"/>
      <c r="B23" s="102"/>
      <c r="C23" s="101"/>
      <c r="D23" s="106"/>
      <c r="E23" s="9"/>
      <c r="F23" s="38"/>
      <c r="G23" s="3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101"/>
      <c r="B24" s="102"/>
      <c r="C24" s="101"/>
      <c r="D24" s="10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5.75" thickBot="1" x14ac:dyDescent="0.3">
      <c r="A25" s="103"/>
      <c r="B25" s="104"/>
      <c r="C25" s="103"/>
      <c r="D25" s="10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25">
      <c r="A26" s="9"/>
      <c r="B26" s="9"/>
      <c r="C26" s="9"/>
      <c r="D26" s="5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25">
      <c r="A27" s="9"/>
      <c r="B27" s="9"/>
      <c r="C27" s="9"/>
      <c r="D27" s="5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9"/>
      <c r="B28" s="9"/>
      <c r="C28" s="9"/>
      <c r="D28" s="5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25">
      <c r="A29" s="9"/>
      <c r="B29" s="9"/>
      <c r="C29" s="9"/>
      <c r="D29" s="5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5">
      <c r="A30" s="9"/>
      <c r="B30" s="9"/>
      <c r="C30" s="9"/>
      <c r="D30" s="5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25">
      <c r="A31" s="9"/>
      <c r="B31" s="9"/>
      <c r="C31" s="9"/>
      <c r="D31" s="5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11"/>
      <c r="B32" s="9"/>
      <c r="C32" s="9"/>
      <c r="D32" s="5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25">
      <c r="A33" s="9"/>
      <c r="B33" s="9"/>
      <c r="C33" s="9"/>
      <c r="D33" s="5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25">
      <c r="A34" s="9"/>
      <c r="B34" s="9"/>
      <c r="C34" s="9"/>
      <c r="D34" s="5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25">
      <c r="A35" s="9"/>
      <c r="B35" s="9"/>
      <c r="C35" s="9"/>
      <c r="D35" s="5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9"/>
      <c r="B36" s="9"/>
      <c r="C36" s="9"/>
      <c r="D36" s="5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25">
      <c r="A37" s="9"/>
      <c r="B37" s="9"/>
      <c r="C37" s="9"/>
      <c r="D37" s="5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25">
      <c r="A38" s="9"/>
      <c r="B38" s="9"/>
      <c r="C38" s="9"/>
      <c r="D38" s="5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25">
      <c r="A39" s="9"/>
      <c r="B39" s="9"/>
      <c r="C39" s="9"/>
      <c r="D39" s="5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25">
      <c r="A40" s="9"/>
      <c r="B40" s="9"/>
      <c r="C40" s="9"/>
      <c r="D40" s="5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25">
      <c r="A41" s="9"/>
      <c r="B41" s="9"/>
      <c r="C41" s="9"/>
      <c r="D41" s="5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25">
      <c r="A42" s="9"/>
      <c r="B42" s="9"/>
      <c r="C42" s="9"/>
      <c r="D42" s="5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x14ac:dyDescent="0.25">
      <c r="A43" s="9"/>
      <c r="B43" s="9"/>
      <c r="C43" s="9"/>
      <c r="D43" s="5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25">
      <c r="A44" s="9"/>
      <c r="B44" s="9"/>
      <c r="C44" s="9"/>
      <c r="D44" s="5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x14ac:dyDescent="0.25">
      <c r="A45" s="9"/>
      <c r="B45" s="9"/>
      <c r="C45" s="9"/>
      <c r="D45" s="5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25">
      <c r="A46" s="9"/>
      <c r="B46" s="9"/>
      <c r="C46" s="9"/>
      <c r="D46" s="5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25">
      <c r="A47" s="9"/>
      <c r="B47" s="9"/>
      <c r="C47" s="9"/>
      <c r="D47" s="5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25">
      <c r="A48" s="9"/>
      <c r="B48" s="9"/>
      <c r="C48" s="9"/>
      <c r="D48" s="5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25">
      <c r="A49" s="9"/>
      <c r="B49" s="9"/>
      <c r="C49" s="9"/>
      <c r="D49" s="5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25">
      <c r="A50" s="9"/>
      <c r="B50" s="9"/>
      <c r="C50" s="9"/>
      <c r="D50" s="5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x14ac:dyDescent="0.25">
      <c r="A51" s="9"/>
      <c r="B51" s="9"/>
      <c r="C51" s="9"/>
      <c r="D51" s="5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25">
      <c r="A52" s="9"/>
      <c r="B52" s="9"/>
      <c r="C52" s="9"/>
      <c r="D52" s="5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</sheetData>
  <sheetProtection algorithmName="SHA-512" hashValue="2Gb8FR+SH08OEpYA9k2ytdM5bBLbzHqUebCtOL6Hl1cOLFxoAEk7WokD8nynvfXf2dWYuAgEslh4f9aCjo8vDg==" saltValue="ftsGtQGTmICO197BuLJ6wQ==" spinCount="100000" sheet="1" objects="1" scenarios="1"/>
  <mergeCells count="9">
    <mergeCell ref="A17:B25"/>
    <mergeCell ref="C17:D25"/>
    <mergeCell ref="B7:D7"/>
    <mergeCell ref="A16:B16"/>
    <mergeCell ref="C16:D16"/>
    <mergeCell ref="F9:J9"/>
    <mergeCell ref="F10:J10"/>
    <mergeCell ref="F11:J11"/>
    <mergeCell ref="F12:J12"/>
  </mergeCells>
  <conditionalFormatting sqref="A17">
    <cfRule type="expression" dxfId="41" priority="10">
      <formula>AND(B11&lt;&gt;"", A17="")</formula>
    </cfRule>
  </conditionalFormatting>
  <conditionalFormatting sqref="B9:B11">
    <cfRule type="cellIs" dxfId="40" priority="6" stopIfTrue="1" operator="lessThan">
      <formula>0</formula>
    </cfRule>
  </conditionalFormatting>
  <conditionalFormatting sqref="B12">
    <cfRule type="cellIs" dxfId="39" priority="7" stopIfTrue="1" operator="lessThan">
      <formula>0</formula>
    </cfRule>
  </conditionalFormatting>
  <conditionalFormatting sqref="C17">
    <cfRule type="expression" dxfId="38" priority="29">
      <formula>AND(B12&lt;&gt;"", C17="")</formula>
    </cfRule>
  </conditionalFormatting>
  <conditionalFormatting sqref="E9:E13">
    <cfRule type="containsBlanks" dxfId="37" priority="4">
      <formula>LEN(TRIM(E9))=0</formula>
    </cfRule>
    <cfRule type="cellIs" dxfId="36" priority="32" operator="greaterThan">
      <formula>0.35</formula>
    </cfRule>
  </conditionalFormatting>
  <conditionalFormatting sqref="B2:B5">
    <cfRule type="expression" dxfId="35" priority="3">
      <formula>B2=""</formula>
    </cfRule>
  </conditionalFormatting>
  <conditionalFormatting sqref="B1">
    <cfRule type="expression" dxfId="34" priority="1">
      <formula>AND($B$2&lt;&gt;"",$B$3&lt;&gt;"",$B$4&lt;&gt;"",$B$5&lt;&gt;"")</formula>
    </cfRule>
  </conditionalFormatting>
  <dataValidations count="4">
    <dataValidation type="textLength" operator="lessThanOrEqual" showInputMessage="1" showErrorMessage="1" errorTitle="Ugyldigt virksomhedsnavn" error="Virksomhedsnavnet er obligatorisk og kan højst indeholde 500 tegn." prompt="Indtast virksomhedens navn, CVR-nummer og projektets start- og slutdato._x000a_" sqref="B2" xr:uid="{00000000-0002-0000-0000-000000000000}">
      <formula1>500</formula1>
    </dataValidation>
    <dataValidation type="decimal" operator="greaterThan" allowBlank="1" showInputMessage="1" showErrorMessage="1" errorTitle="ForMangeProcent" error="IF-investering kan højst være 33% pr. budgetpost" sqref="B14" xr:uid="{00000000-0002-0000-0000-000001000000}">
      <formula1>33</formula1>
    </dataValidation>
    <dataValidation type="whole" operator="greaterThanOrEqual" allowBlank="1" showInputMessage="1" showErrorMessage="1" error="Der kan alene angives beløb i hele kroner" sqref="B9:B12" xr:uid="{00000000-0002-0000-0000-000002000000}">
      <formula1>0</formula1>
    </dataValidation>
    <dataValidation type="decimal" allowBlank="1" showInputMessage="1" showErrorMessage="1" error="Investeringsgraden må ikke overstige 35%" sqref="E7" xr:uid="{00000000-0002-0000-0000-000003000000}">
      <formula1>0</formula1>
      <formula2>0.35</formula2>
    </dataValidation>
  </dataValidation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date" showInputMessage="1" showErrorMessage="1" errorTitle="Ugyldig slutdato" error="Slutdatoen er obligatorisk, kan ikke være tidligere end startdatoen." xr:uid="{00000000-0002-0000-0000-000004000000}">
          <x14:formula1>
            <xm:f>IF(B4="", Validators!C2, B4)</xm:f>
          </x14:formula1>
          <x14:formula2>
            <xm:f>Validators!D2</xm:f>
          </x14:formula2>
          <xm:sqref>B5</xm:sqref>
        </x14:dataValidation>
        <x14:dataValidation type="custom" showInputMessage="1" showErrorMessage="1" errorTitle="Ugyldigt CVR-nummer" error="CVR-nummer skal være præcis 8 cifre og opfylde et modulus 11 tjek." xr:uid="{00000000-0002-0000-0000-000005000000}">
          <x14:formula1>
            <xm:f>Validators!A2</xm:f>
          </x14:formula1>
          <xm:sqref>B3</xm:sqref>
        </x14:dataValidation>
        <x14:dataValidation type="date" showInputMessage="1" showErrorMessage="1" errorTitle="Ugyldig startdato" error="Startdatoen er obligatorisk og kan ikke være senere end slutdatoen." xr:uid="{00000000-0002-0000-0000-000006000000}">
          <x14:formula1>
            <xm:f>Validators!C2</xm:f>
          </x14:formula1>
          <x14:formula2>
            <xm:f>IF(B5="", Validators!D2, B5)</xm:f>
          </x14:formula2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V62"/>
  <sheetViews>
    <sheetView showGridLines="0" view="pageBreakPreview" zoomScale="85" zoomScaleSheetLayoutView="85" workbookViewId="0">
      <selection activeCell="B2" sqref="B2"/>
    </sheetView>
  </sheetViews>
  <sheetFormatPr defaultColWidth="9.140625" defaultRowHeight="15" x14ac:dyDescent="0.25"/>
  <cols>
    <col min="1" max="1" width="35.28515625" style="10" customWidth="1"/>
    <col min="2" max="4" width="17.7109375" style="10" customWidth="1"/>
    <col min="5" max="5" width="19.42578125" style="10" customWidth="1"/>
    <col min="6" max="6" width="16" style="10" bestFit="1" customWidth="1"/>
    <col min="7" max="16384" width="9.140625" style="10"/>
  </cols>
  <sheetData>
    <row r="1" spans="1:22" ht="15" customHeight="1" thickBot="1" x14ac:dyDescent="0.3">
      <c r="A1" s="15"/>
      <c r="B1" s="16"/>
      <c r="C1" s="15"/>
      <c r="D1" s="15"/>
    </row>
    <row r="2" spans="1:22" x14ac:dyDescent="0.25">
      <c r="A2" s="14" t="s">
        <v>60</v>
      </c>
      <c r="B2" s="31" t="str">
        <f>IF(Budget!B2="", "", Budget!B2)</f>
        <v/>
      </c>
      <c r="C2" s="15"/>
      <c r="D2" s="16"/>
    </row>
    <row r="3" spans="1:22" ht="15" customHeight="1" x14ac:dyDescent="0.25">
      <c r="A3" s="17" t="s">
        <v>61</v>
      </c>
      <c r="B3" s="32" t="str">
        <f>IF(Budget!B3="", "", Budget!B3)</f>
        <v/>
      </c>
      <c r="C3" s="15"/>
      <c r="D3" s="16"/>
    </row>
    <row r="4" spans="1:22" x14ac:dyDescent="0.25">
      <c r="A4" s="17" t="s">
        <v>62</v>
      </c>
      <c r="B4" s="33" t="str">
        <f>IF(Budget!B4="", "", Budget!B4)</f>
        <v/>
      </c>
      <c r="C4" s="15"/>
      <c r="D4" s="16"/>
    </row>
    <row r="5" spans="1:22" ht="15" customHeight="1" thickBot="1" x14ac:dyDescent="0.3">
      <c r="A5" s="18" t="s">
        <v>63</v>
      </c>
      <c r="B5" s="34" t="str">
        <f>IF(Budget!B5="", "", Budget!B5)</f>
        <v/>
      </c>
      <c r="C5" s="15"/>
      <c r="D5" s="15"/>
    </row>
    <row r="6" spans="1:22" ht="15" customHeight="1" thickBot="1" x14ac:dyDescent="0.3">
      <c r="A6" s="29"/>
      <c r="B6" s="30"/>
      <c r="C6" s="15"/>
      <c r="D6" s="15"/>
    </row>
    <row r="7" spans="1:22" ht="24" customHeight="1" thickBot="1" x14ac:dyDescent="0.3">
      <c r="A7" s="15"/>
      <c r="B7" s="93" t="s">
        <v>82</v>
      </c>
      <c r="C7" s="94"/>
      <c r="D7" s="95"/>
      <c r="E7" s="90">
        <f>Budget!E7</f>
        <v>0</v>
      </c>
    </row>
    <row r="8" spans="1:22" ht="28.5" customHeight="1" thickBot="1" x14ac:dyDescent="0.3">
      <c r="A8" s="19" t="s">
        <v>48</v>
      </c>
      <c r="B8" s="35" t="s">
        <v>65</v>
      </c>
      <c r="C8" s="35" t="s">
        <v>64</v>
      </c>
      <c r="D8" s="35" t="s">
        <v>47</v>
      </c>
      <c r="E8" s="40" t="s">
        <v>84</v>
      </c>
    </row>
    <row r="9" spans="1:22" x14ac:dyDescent="0.25">
      <c r="A9" s="20" t="s">
        <v>49</v>
      </c>
      <c r="B9" s="21" t="str">
        <f>IF(Budget!B9="", "", Budget!B9)</f>
        <v/>
      </c>
      <c r="C9" s="91" t="str">
        <f>IF(Budget!C9="", "", Budget!C9)</f>
        <v/>
      </c>
      <c r="D9" s="22" t="str">
        <f>IF(Budget!D9="", "", Budget!D9)</f>
        <v/>
      </c>
      <c r="E9" s="41" t="str">
        <f>IF(Budget!E9="", "", Budget!E9)</f>
        <v/>
      </c>
    </row>
    <row r="10" spans="1:22" x14ac:dyDescent="0.25">
      <c r="A10" s="23" t="s">
        <v>77</v>
      </c>
      <c r="B10" s="24" t="str">
        <f>IF(Budget!B10="", "", Budget!B10)</f>
        <v/>
      </c>
      <c r="C10" s="91" t="str">
        <f>IF(Budget!C10="", "", Budget!C10)</f>
        <v/>
      </c>
      <c r="D10" s="22" t="str">
        <f>IF(Budget!D10="", "", Budget!D10)</f>
        <v/>
      </c>
      <c r="E10" s="42" t="str">
        <f>IF(Budget!E10="", "", Budget!E10)</f>
        <v/>
      </c>
    </row>
    <row r="11" spans="1:22" x14ac:dyDescent="0.25">
      <c r="A11" s="23" t="s">
        <v>51</v>
      </c>
      <c r="B11" s="24" t="str">
        <f>IF(Budget!B11="", "", Budget!B11)</f>
        <v/>
      </c>
      <c r="C11" s="91" t="str">
        <f>IF(Budget!C11="", "", Budget!C11)</f>
        <v/>
      </c>
      <c r="D11" s="22" t="str">
        <f>IF(Budget!D11="", "", Budget!D11)</f>
        <v/>
      </c>
      <c r="E11" s="43" t="str">
        <f>IF(Budget!E11="", "", Budget!E11)</f>
        <v/>
      </c>
    </row>
    <row r="12" spans="1:22" ht="26.25" thickBot="1" x14ac:dyDescent="0.3">
      <c r="A12" s="77" t="s">
        <v>80</v>
      </c>
      <c r="B12" s="58" t="str">
        <f>IF(Budget!B12="", "", Budget!B12)</f>
        <v/>
      </c>
      <c r="C12" s="92" t="str">
        <f>IF(Budget!C12="", "", Budget!C12)</f>
        <v/>
      </c>
      <c r="D12" s="25" t="str">
        <f>IF(Budget!D12="", "", Budget!D12)</f>
        <v/>
      </c>
      <c r="E12" s="44" t="str">
        <f>IF(Budget!E12="", "", Budget!E12)</f>
        <v/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ht="15.75" thickBot="1" x14ac:dyDescent="0.3">
      <c r="A13" s="56" t="s">
        <v>53</v>
      </c>
      <c r="B13" s="57" t="str">
        <f>IF(Budget!B13="", "", Budget!B13)</f>
        <v/>
      </c>
      <c r="C13" s="26" t="str">
        <f>IF(Budget!C13="", "", Budget!C13)</f>
        <v/>
      </c>
      <c r="D13" s="26" t="str">
        <f>IF(Budget!D13="", "", Budget!D13)</f>
        <v/>
      </c>
      <c r="E13" s="55" t="str">
        <f>IF(Budget!E13="", "", Budget!E13)</f>
        <v/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customFormat="1" x14ac:dyDescent="0.25"/>
    <row r="15" spans="1:22" ht="15.75" thickBot="1" x14ac:dyDescent="0.3">
      <c r="A15" s="28"/>
      <c r="B15" s="51"/>
      <c r="C15" s="52"/>
      <c r="D15" s="53"/>
      <c r="E15" s="54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95.25" customHeight="1" thickBot="1" x14ac:dyDescent="0.3">
      <c r="A16" s="108" t="s">
        <v>90</v>
      </c>
      <c r="B16" s="97"/>
      <c r="C16" s="108" t="s">
        <v>89</v>
      </c>
      <c r="D16" s="109"/>
      <c r="E16" s="9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20.25" customHeight="1" x14ac:dyDescent="0.25">
      <c r="A17" s="110" t="str">
        <f>IF(Budget!A17="", "", Budget!A17)</f>
        <v>Eksempel: Vidensleverandør A/S (100.000 kr.)</v>
      </c>
      <c r="B17" s="111"/>
      <c r="C17" s="110" t="str">
        <f>IF(Budget!C17="","",Budget!C17)</f>
        <v>Eksempel: Leverandør A/S (kr. 90.000 kr.)</v>
      </c>
      <c r="D17" s="116"/>
      <c r="E17" s="1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112"/>
      <c r="B18" s="113"/>
      <c r="C18" s="112"/>
      <c r="D18" s="117"/>
      <c r="E18" s="113"/>
      <c r="F18" s="12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112"/>
      <c r="B19" s="113"/>
      <c r="C19" s="112"/>
      <c r="D19" s="117"/>
      <c r="E19" s="113"/>
      <c r="F19" s="1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112"/>
      <c r="B20" s="113"/>
      <c r="C20" s="112"/>
      <c r="D20" s="117"/>
      <c r="E20" s="113"/>
      <c r="F20" s="1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112"/>
      <c r="B21" s="113"/>
      <c r="C21" s="112"/>
      <c r="D21" s="117"/>
      <c r="E21" s="113"/>
      <c r="F21" s="1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112"/>
      <c r="B22" s="113"/>
      <c r="C22" s="112"/>
      <c r="D22" s="117"/>
      <c r="E22" s="1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112"/>
      <c r="B23" s="113"/>
      <c r="C23" s="112"/>
      <c r="D23" s="117"/>
      <c r="E23" s="1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5.75" thickBot="1" x14ac:dyDescent="0.3">
      <c r="A24" s="114"/>
      <c r="B24" s="115"/>
      <c r="C24" s="114"/>
      <c r="D24" s="118"/>
      <c r="E24" s="115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45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2" x14ac:dyDescent="0.25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x14ac:dyDescent="0.25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25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x14ac:dyDescent="0.25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x14ac:dyDescent="0.25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25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x14ac:dyDescent="0.25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x14ac:dyDescent="0.25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x14ac:dyDescent="0.25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25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</sheetData>
  <sheetProtection algorithmName="SHA-512" hashValue="VfW/Lo5bX9JLL6wYnsdPdEBExwjl46ngAGl2Y0tLqns0dQP9F1YnaSktrgyTP/9F8hzD1mZaPWGpBZZVkvVv9A==" saltValue="3rD/PJEt3wjabhQYhcRoXg==" spinCount="100000" sheet="1" objects="1" scenarios="1"/>
  <mergeCells count="5">
    <mergeCell ref="A16:B16"/>
    <mergeCell ref="C16:E16"/>
    <mergeCell ref="B7:D7"/>
    <mergeCell ref="A17:B24"/>
    <mergeCell ref="C17:E24"/>
  </mergeCells>
  <phoneticPr fontId="18" type="noConversion"/>
  <conditionalFormatting sqref="A17">
    <cfRule type="endsWith" dxfId="33" priority="3" operator="endsWith" text="Eksempel: Videnleverandør A/S (100.000 kr.)">
      <formula>RIGHT(A17,LEN("Eksempel: Videnleverandør A/S (100.000 kr.)"))="Eksempel: Videnleverandør A/S (100.000 kr.)"</formula>
    </cfRule>
  </conditionalFormatting>
  <conditionalFormatting sqref="C17">
    <cfRule type="endsWith" dxfId="32" priority="1" operator="endsWith" text="Eksempel: Videnleverandør A/S (100.000 kr.)">
      <formula>RIGHT(C17,LEN("Eksempel: Videnleverandør A/S (100.000 kr.)"))="Eksempel: Videnleverandør A/S (100.000 kr.)"</formula>
    </cfRule>
  </conditionalFormatting>
  <dataValidations count="2">
    <dataValidation allowBlank="1" sqref="B2:B5 A13 B9:D13 A15:A17 B15:B16 C15:C17 D15" xr:uid="{00000000-0002-0000-0100-000000000000}"/>
    <dataValidation type="decimal" allowBlank="1" showInputMessage="1" showErrorMessage="1" error="Investeringsgraden må ikke overstige 35%" sqref="E7" xr:uid="{00000000-0002-0000-0100-000001000000}">
      <formula1>0</formula1>
      <formula2>0.35</formula2>
    </dataValidation>
  </dataValidation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showInputMessage="1" showErrorMessage="1" errorTitle="Ugyldig slutdato" error="Slutdatoen er obligatorisk, kan ikke være tidligere end startdatoen." xr:uid="{00000000-0002-0000-0100-000002000000}">
          <x14:formula1>
            <xm:f>IF(B5="", Validators!C3, B5)</xm:f>
          </x14:formula1>
          <x14:formula2>
            <xm:f>Validators!D3</xm:f>
          </x14:formula2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Z2"/>
  <sheetViews>
    <sheetView zoomScale="85" zoomScaleNormal="85" workbookViewId="0"/>
  </sheetViews>
  <sheetFormatPr defaultColWidth="8.85546875" defaultRowHeight="15" x14ac:dyDescent="0.25"/>
  <cols>
    <col min="1" max="1" width="5" bestFit="1" customWidth="1"/>
    <col min="2" max="2" width="13.85546875" customWidth="1"/>
    <col min="3" max="3" width="16.140625" bestFit="1" customWidth="1"/>
    <col min="4" max="4" width="22.42578125" bestFit="1" customWidth="1"/>
    <col min="5" max="5" width="29.85546875" bestFit="1" customWidth="1"/>
    <col min="6" max="6" width="7.85546875" bestFit="1" customWidth="1"/>
    <col min="7" max="7" width="10.85546875" bestFit="1" customWidth="1"/>
    <col min="8" max="8" width="11" bestFit="1" customWidth="1"/>
    <col min="9" max="9" width="9" bestFit="1" customWidth="1"/>
    <col min="10" max="10" width="11" bestFit="1" customWidth="1"/>
    <col min="11" max="11" width="8.7109375" bestFit="1" customWidth="1"/>
    <col min="12" max="15" width="15.42578125" bestFit="1" customWidth="1"/>
    <col min="16" max="16" width="9" bestFit="1" customWidth="1"/>
    <col min="17" max="17" width="9.7109375" bestFit="1" customWidth="1"/>
    <col min="18" max="18" width="13" bestFit="1" customWidth="1"/>
    <col min="19" max="19" width="8.140625" bestFit="1" customWidth="1"/>
    <col min="20" max="20" width="15.42578125" bestFit="1" customWidth="1"/>
    <col min="21" max="21" width="19.7109375" bestFit="1" customWidth="1"/>
    <col min="22" max="22" width="24.85546875" bestFit="1" customWidth="1"/>
    <col min="23" max="23" width="15.42578125" bestFit="1" customWidth="1"/>
    <col min="24" max="24" width="16" bestFit="1" customWidth="1"/>
    <col min="25" max="25" width="12.42578125" bestFit="1" customWidth="1"/>
    <col min="26" max="26" width="12" bestFit="1" customWidth="1"/>
  </cols>
  <sheetData>
    <row r="1" spans="1:26" x14ac:dyDescent="0.25">
      <c r="A1" t="s">
        <v>31</v>
      </c>
      <c r="B1" t="s">
        <v>22</v>
      </c>
      <c r="C1" t="s">
        <v>28</v>
      </c>
      <c r="D1" t="s">
        <v>21</v>
      </c>
      <c r="E1" t="s">
        <v>24</v>
      </c>
      <c r="F1" t="s">
        <v>0</v>
      </c>
      <c r="G1" t="s">
        <v>39</v>
      </c>
      <c r="H1" t="s">
        <v>1</v>
      </c>
      <c r="I1" t="s">
        <v>25</v>
      </c>
      <c r="J1" t="s">
        <v>2</v>
      </c>
      <c r="K1" t="s">
        <v>26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27</v>
      </c>
      <c r="R1" t="s">
        <v>11</v>
      </c>
      <c r="S1" t="s">
        <v>13</v>
      </c>
      <c r="T1" t="s">
        <v>5</v>
      </c>
      <c r="U1" t="s">
        <v>3</v>
      </c>
      <c r="V1" t="s">
        <v>29</v>
      </c>
      <c r="W1" t="s">
        <v>4</v>
      </c>
      <c r="X1" t="s">
        <v>40</v>
      </c>
      <c r="Y1" t="s">
        <v>41</v>
      </c>
      <c r="Z1" t="s">
        <v>42</v>
      </c>
    </row>
    <row r="2" spans="1:26" x14ac:dyDescent="0.25">
      <c r="A2">
        <v>1</v>
      </c>
      <c r="B2" t="s">
        <v>12</v>
      </c>
      <c r="C2" s="1" t="b">
        <v>1</v>
      </c>
      <c r="D2" t="s">
        <v>14</v>
      </c>
      <c r="E2" t="b">
        <v>1</v>
      </c>
      <c r="F2" t="str">
        <f>IF(Budget!$B$2="", "", LEFT(TRIM(Budget!$B$2), 500))</f>
        <v/>
      </c>
      <c r="I2" t="str">
        <f>IF(Budget!$B$3="", "", Budget!$B$3)</f>
        <v/>
      </c>
      <c r="T2" s="1">
        <v>0</v>
      </c>
      <c r="X2" s="7"/>
      <c r="Y2" s="7"/>
      <c r="Z2" s="7"/>
    </row>
  </sheetData>
  <sheetProtection algorithmName="SHA-512" hashValue="1XZrD1vbj+WGxlfikiZw0veEksdVee9wzDzclYWH59k4iT7avsp8IRZ5FetjF52wC0lA7zzo9NXvcxkP9iTXFg==" saltValue="jOymUxXVCBl95LA66tFOow==" spinCount="100000" sheet="1" objects="1" scenarios="1"/>
  <pageMargins left="0.7" right="0.7" top="0.75" bottom="0.75" header="0.3" footer="0.3"/>
  <ignoredErrors>
    <ignoredError sqref="B2:E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O9"/>
  <sheetViews>
    <sheetView showGridLines="0" zoomScale="85" zoomScaleNormal="85" workbookViewId="0"/>
  </sheetViews>
  <sheetFormatPr defaultColWidth="8.85546875" defaultRowHeight="15" x14ac:dyDescent="0.25"/>
  <cols>
    <col min="1" max="1" width="11.42578125" bestFit="1" customWidth="1"/>
    <col min="2" max="2" width="15.42578125" customWidth="1"/>
    <col min="3" max="3" width="25.28515625" bestFit="1" customWidth="1"/>
    <col min="4" max="4" width="22.140625" bestFit="1" customWidth="1"/>
    <col min="5" max="5" width="18.42578125" bestFit="1" customWidth="1"/>
    <col min="6" max="6" width="14.140625" bestFit="1" customWidth="1"/>
    <col min="7" max="7" width="13" bestFit="1" customWidth="1"/>
    <col min="8" max="8" width="18.42578125" bestFit="1" customWidth="1"/>
    <col min="9" max="9" width="17.85546875" bestFit="1" customWidth="1"/>
    <col min="10" max="10" width="14.85546875" bestFit="1" customWidth="1"/>
    <col min="11" max="11" width="15.42578125" bestFit="1" customWidth="1"/>
    <col min="12" max="12" width="17.140625" bestFit="1" customWidth="1"/>
    <col min="13" max="13" width="10.42578125" bestFit="1" customWidth="1"/>
    <col min="14" max="14" width="11.85546875" bestFit="1" customWidth="1"/>
    <col min="15" max="15" width="14.42578125" bestFit="1" customWidth="1"/>
  </cols>
  <sheetData>
    <row r="1" spans="1:15" x14ac:dyDescent="0.25">
      <c r="A1" t="s">
        <v>30</v>
      </c>
      <c r="B1" t="s">
        <v>32</v>
      </c>
      <c r="C1" t="s">
        <v>15</v>
      </c>
      <c r="D1" t="s">
        <v>33</v>
      </c>
      <c r="E1" t="s">
        <v>34</v>
      </c>
      <c r="F1" t="s">
        <v>17</v>
      </c>
      <c r="G1" t="s">
        <v>18</v>
      </c>
      <c r="H1" t="s">
        <v>35</v>
      </c>
      <c r="I1" t="s">
        <v>36</v>
      </c>
      <c r="J1" t="s">
        <v>19</v>
      </c>
      <c r="K1" t="s">
        <v>20</v>
      </c>
      <c r="L1" t="s">
        <v>37</v>
      </c>
      <c r="M1" t="s">
        <v>43</v>
      </c>
      <c r="N1" t="s">
        <v>44</v>
      </c>
      <c r="O1" t="s">
        <v>45</v>
      </c>
    </row>
    <row r="2" spans="1:15" x14ac:dyDescent="0.25">
      <c r="A2">
        <v>1</v>
      </c>
      <c r="B2" s="3" t="str">
        <f>IF(Budget!$C9="", "", ROUND(Budget!$C9,0))</f>
        <v/>
      </c>
      <c r="C2" t="s">
        <v>46</v>
      </c>
      <c r="D2" t="s">
        <v>54</v>
      </c>
      <c r="G2" s="3"/>
      <c r="H2" s="2" t="str">
        <f t="shared" ref="H2:H9" si="0">IF(Projekstart="", "", Projekstart)</f>
        <v/>
      </c>
      <c r="I2" s="2" t="str">
        <f t="shared" ref="I2:I9" si="1">IF(Projektslut="", "", Projektslut)</f>
        <v/>
      </c>
      <c r="L2" t="b">
        <v>0</v>
      </c>
    </row>
    <row r="3" spans="1:15" x14ac:dyDescent="0.25">
      <c r="A3">
        <v>1</v>
      </c>
      <c r="B3" s="3" t="str">
        <f>IF(Budget!$C10="", "", ROUND(Budget!$C10,0))</f>
        <v/>
      </c>
      <c r="C3" s="8" t="s">
        <v>46</v>
      </c>
      <c r="D3" t="s">
        <v>55</v>
      </c>
      <c r="G3" s="3"/>
      <c r="H3" s="2" t="str">
        <f t="shared" si="0"/>
        <v/>
      </c>
      <c r="I3" s="2" t="str">
        <f t="shared" si="1"/>
        <v/>
      </c>
      <c r="L3" s="8" t="b">
        <v>0</v>
      </c>
    </row>
    <row r="4" spans="1:15" x14ac:dyDescent="0.25">
      <c r="A4">
        <v>1</v>
      </c>
      <c r="B4" s="3" t="str">
        <f>IF(Budget!$C11="", "", ROUND(Budget!$C11,0))</f>
        <v/>
      </c>
      <c r="C4" s="8" t="s">
        <v>46</v>
      </c>
      <c r="D4" t="s">
        <v>56</v>
      </c>
      <c r="G4" s="3"/>
      <c r="H4" s="2" t="str">
        <f t="shared" si="0"/>
        <v/>
      </c>
      <c r="I4" s="2" t="str">
        <f>IF(Projektslut="", "", Projektslut)</f>
        <v/>
      </c>
      <c r="J4" t="str">
        <f>IF(Budget!A17="", "", Budget!A17)</f>
        <v>Eksempel: Vidensleverandør A/S (100.000 kr.)</v>
      </c>
      <c r="L4" s="8" t="b">
        <v>0</v>
      </c>
    </row>
    <row r="5" spans="1:15" x14ac:dyDescent="0.25">
      <c r="A5">
        <v>1</v>
      </c>
      <c r="B5" s="3" t="str">
        <f>IF(Budget!$C12="", "", ROUND(Budget!$C12,0))</f>
        <v/>
      </c>
      <c r="C5" s="8" t="s">
        <v>46</v>
      </c>
      <c r="D5" t="s">
        <v>57</v>
      </c>
      <c r="G5" s="3"/>
      <c r="H5" s="2" t="str">
        <f t="shared" si="0"/>
        <v/>
      </c>
      <c r="I5" s="2" t="str">
        <f t="shared" si="1"/>
        <v/>
      </c>
      <c r="J5" s="8" t="str">
        <f>IF(Budget!C17="", "", Budget!C17)</f>
        <v>Eksempel: Leverandør A/S (kr. 90.000 kr.)</v>
      </c>
      <c r="L5" s="8" t="b">
        <v>0</v>
      </c>
    </row>
    <row r="6" spans="1:15" x14ac:dyDescent="0.25">
      <c r="A6" s="8">
        <v>1</v>
      </c>
      <c r="B6" s="3" t="str">
        <f>IF(Budget!$D9="", "", ROUND(Budget!$D9,0))</f>
        <v/>
      </c>
      <c r="C6" s="8" t="s">
        <v>47</v>
      </c>
      <c r="D6" s="8" t="s">
        <v>54</v>
      </c>
      <c r="E6" s="8"/>
      <c r="F6" s="8"/>
      <c r="G6" s="3"/>
      <c r="H6" s="2" t="str">
        <f t="shared" si="0"/>
        <v/>
      </c>
      <c r="I6" s="2" t="str">
        <f t="shared" si="1"/>
        <v/>
      </c>
      <c r="J6" s="8"/>
      <c r="K6" s="8"/>
      <c r="L6" s="8" t="b">
        <v>0</v>
      </c>
      <c r="M6" s="8"/>
      <c r="N6" s="8"/>
      <c r="O6" s="8"/>
    </row>
    <row r="7" spans="1:15" x14ac:dyDescent="0.25">
      <c r="A7" s="8">
        <v>1</v>
      </c>
      <c r="B7" s="3" t="str">
        <f>IF(Budget!$D10="", "", ROUND(Budget!$D10,0))</f>
        <v/>
      </c>
      <c r="C7" s="8" t="s">
        <v>47</v>
      </c>
      <c r="D7" s="8" t="s">
        <v>55</v>
      </c>
      <c r="E7" s="8"/>
      <c r="F7" s="8"/>
      <c r="G7" s="3"/>
      <c r="H7" s="2" t="str">
        <f t="shared" si="0"/>
        <v/>
      </c>
      <c r="I7" s="2" t="str">
        <f t="shared" si="1"/>
        <v/>
      </c>
      <c r="J7" s="8"/>
      <c r="K7" s="8"/>
      <c r="L7" s="8" t="b">
        <v>0</v>
      </c>
      <c r="M7" s="8"/>
      <c r="N7" s="8"/>
      <c r="O7" s="8"/>
    </row>
    <row r="8" spans="1:15" x14ac:dyDescent="0.25">
      <c r="A8" s="8">
        <v>1</v>
      </c>
      <c r="B8" s="3" t="str">
        <f>IF(Budget!$D11="", "", ROUND(Budget!$D11,0))</f>
        <v/>
      </c>
      <c r="C8" s="8" t="s">
        <v>47</v>
      </c>
      <c r="D8" s="8" t="s">
        <v>56</v>
      </c>
      <c r="E8" s="8"/>
      <c r="F8" s="8"/>
      <c r="G8" s="3"/>
      <c r="H8" s="2" t="str">
        <f t="shared" si="0"/>
        <v/>
      </c>
      <c r="I8" s="2" t="str">
        <f t="shared" si="1"/>
        <v/>
      </c>
      <c r="J8" s="8"/>
      <c r="K8" s="8"/>
      <c r="L8" s="8" t="b">
        <v>0</v>
      </c>
      <c r="M8" s="8"/>
      <c r="N8" s="8"/>
      <c r="O8" s="8"/>
    </row>
    <row r="9" spans="1:15" x14ac:dyDescent="0.25">
      <c r="A9" s="8">
        <v>1</v>
      </c>
      <c r="B9" s="3" t="str">
        <f>IF(Budget!$D12="", "", ROUND(Budget!$D12,0))</f>
        <v/>
      </c>
      <c r="C9" s="8" t="s">
        <v>47</v>
      </c>
      <c r="D9" s="8" t="s">
        <v>57</v>
      </c>
      <c r="E9" s="8"/>
      <c r="F9" s="8"/>
      <c r="G9" s="3"/>
      <c r="H9" s="2" t="str">
        <f t="shared" si="0"/>
        <v/>
      </c>
      <c r="I9" s="2" t="str">
        <f t="shared" si="1"/>
        <v/>
      </c>
      <c r="J9" s="8"/>
      <c r="K9" s="8"/>
      <c r="L9" s="8" t="b">
        <v>0</v>
      </c>
      <c r="M9" s="8"/>
      <c r="N9" s="8"/>
      <c r="O9" s="8"/>
    </row>
  </sheetData>
  <sheetProtection algorithmName="SHA-512" hashValue="oBMdVy4lBivLHLNa7ATbHnZ8e2/rexv7JJ/xTVyJfaPkWBmGapBLg9mc8Bi0/oaWlToFkY40MkraabA0yHB3aQ==" saltValue="yp9jFyk+FJ1slU8PPdDg8w==" spinCount="100000" sheet="1" objects="1" scenarios="1"/>
  <pageMargins left="0.7" right="0.7" top="0.75" bottom="0.75" header="0.3" footer="0.3"/>
  <pageSetup paperSize="9" orientation="portrait" r:id="rId1"/>
  <ignoredErrors>
    <ignoredError sqref="B2 B3:B9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B20"/>
  <sheetViews>
    <sheetView showGridLines="0" zoomScale="85" zoomScaleNormal="85" workbookViewId="0"/>
  </sheetViews>
  <sheetFormatPr defaultColWidth="8.85546875" defaultRowHeight="15" x14ac:dyDescent="0.25"/>
  <cols>
    <col min="1" max="1" width="35.28515625" bestFit="1" customWidth="1"/>
    <col min="2" max="2" width="21.140625" bestFit="1" customWidth="1"/>
  </cols>
  <sheetData>
    <row r="1" spans="1:2" x14ac:dyDescent="0.25">
      <c r="A1" t="s">
        <v>16</v>
      </c>
      <c r="B1" t="s">
        <v>23</v>
      </c>
    </row>
    <row r="2" spans="1:2" x14ac:dyDescent="0.25">
      <c r="A2" t="s">
        <v>49</v>
      </c>
      <c r="B2" t="s">
        <v>54</v>
      </c>
    </row>
    <row r="3" spans="1:2" x14ac:dyDescent="0.25">
      <c r="A3" t="s">
        <v>50</v>
      </c>
      <c r="B3" t="s">
        <v>55</v>
      </c>
    </row>
    <row r="4" spans="1:2" x14ac:dyDescent="0.25">
      <c r="A4" t="s">
        <v>85</v>
      </c>
      <c r="B4" t="s">
        <v>56</v>
      </c>
    </row>
    <row r="5" spans="1:2" x14ac:dyDescent="0.25">
      <c r="A5" t="s">
        <v>52</v>
      </c>
      <c r="B5" s="4" t="s">
        <v>57</v>
      </c>
    </row>
    <row r="6" spans="1:2" x14ac:dyDescent="0.25">
      <c r="B6" s="4"/>
    </row>
    <row r="7" spans="1:2" x14ac:dyDescent="0.25">
      <c r="B7" s="4"/>
    </row>
    <row r="8" spans="1:2" x14ac:dyDescent="0.25">
      <c r="B8" s="4"/>
    </row>
    <row r="9" spans="1:2" x14ac:dyDescent="0.25">
      <c r="B9" s="4"/>
    </row>
    <row r="10" spans="1:2" x14ac:dyDescent="0.25"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</sheetData>
  <sheetProtection algorithmName="SHA-512" hashValue="NdzEISZAwy1nHSvhFCDwo+xZxdJ+KAzxlamJZzMCvE7JUL3pFo4KSIhsng+zmoXpOEacWc4A5eBkpkC8h/zKtA==" saltValue="XAYpcxvFBNR6NABqJ7BnOA==" spinCount="100000"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D2"/>
  <sheetViews>
    <sheetView showGridLines="0" zoomScale="85" zoomScaleNormal="85" workbookViewId="0"/>
  </sheetViews>
  <sheetFormatPr defaultColWidth="8.85546875" defaultRowHeight="15" x14ac:dyDescent="0.25"/>
  <cols>
    <col min="1" max="1" width="6.85546875" bestFit="1" customWidth="1"/>
    <col min="3" max="4" width="10.42578125" bestFit="1" customWidth="1"/>
  </cols>
  <sheetData>
    <row r="1" spans="1:4" x14ac:dyDescent="0.25">
      <c r="A1" s="5" t="s">
        <v>38</v>
      </c>
      <c r="C1" s="13" t="s">
        <v>58</v>
      </c>
      <c r="D1" s="13" t="s">
        <v>59</v>
      </c>
    </row>
    <row r="2" spans="1:4" x14ac:dyDescent="0.25">
      <c r="A2" s="6" t="b">
        <f>OR(CVR="", IFERROR(AND(LEN(CVR)=8, VALUE(CVR)&gt;=10000000, VALUE(CVR)&lt;=99999999, MOD(SUMPRODUCT(MID(VALUE(CVR),{1;2;3;4;5;6;7;8}, 1)*1,{2;7;6;5;4;3;2;1}), 11)=0), FALSE))</f>
        <v>1</v>
      </c>
      <c r="C2" s="2">
        <v>42597</v>
      </c>
      <c r="D2" s="2">
        <v>55153</v>
      </c>
    </row>
  </sheetData>
  <sheetProtection algorithmName="SHA-512" hashValue="zpAjCpKyCt4cCQ2cgqDhmTX+cD9yY7HjrUEmPY/VMvPf/YRDGCVBlLIJVtiL1l0i3MJmwFHEKod2HvIWkvqpRw==" saltValue="WsfI6nqKgLPTdcOPRy7qVA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B2"/>
  <sheetViews>
    <sheetView showGridLines="0" zoomScale="85" zoomScaleNormal="85" workbookViewId="0"/>
  </sheetViews>
  <sheetFormatPr defaultRowHeight="15" x14ac:dyDescent="0.25"/>
  <cols>
    <col min="1" max="1" width="21.7109375" customWidth="1"/>
    <col min="2" max="2" width="20.85546875" customWidth="1"/>
  </cols>
  <sheetData>
    <row r="1" spans="1:2" x14ac:dyDescent="0.25">
      <c r="A1" t="s">
        <v>0</v>
      </c>
      <c r="B1" t="s">
        <v>75</v>
      </c>
    </row>
    <row r="2" spans="1:2" x14ac:dyDescent="0.25">
      <c r="A2" s="66" t="s">
        <v>76</v>
      </c>
      <c r="B2" s="66" t="s">
        <v>81</v>
      </c>
    </row>
  </sheetData>
  <sheetProtection algorithmName="SHA-512" hashValue="KFb2fHtA25FXg+Hc82/WDfHu2jiCXJ+1wJUk/fyYOgTMqgWjMEQ2JJpwTjdnPHAmA1mmw/o2y0O2XjnH+FKjPw==" saltValue="HonClKwNEamQK+pRUeitAg==" spinCount="100000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EF51F60E0E6B408AA3BB8BC5204724" ma:contentTypeVersion="3" ma:contentTypeDescription="Opret et nyt dokument." ma:contentTypeScope="" ma:versionID="6f73d7e5c0ca1a5fca0230ee6a6cd98e">
  <xsd:schema xmlns:xsd="http://www.w3.org/2001/XMLSchema" xmlns:xs="http://www.w3.org/2001/XMLSchema" xmlns:p="http://schemas.microsoft.com/office/2006/metadata/properties" xmlns:ns2="e8178312-171c-43e1-b4bd-29c59a02173d" xmlns:ns3="cd0af3bd-f48f-48bf-a584-2cde8e9b771d" targetNamespace="http://schemas.microsoft.com/office/2006/metadata/properties" ma:root="true" ma:fieldsID="2c85587520eaa80bebe82e9d30ea36d3" ns2:_="" ns3:_="">
    <xsd:import namespace="e8178312-171c-43e1-b4bd-29c59a02173d"/>
    <xsd:import namespace="cd0af3bd-f48f-48bf-a584-2cde8e9b771d"/>
    <xsd:element name="properties">
      <xsd:complexType>
        <xsd:sequence>
          <xsd:element name="documentManagement">
            <xsd:complexType>
              <xsd:all>
                <xsd:element ref="ns2:TemplateType" minOccurs="0"/>
                <xsd:element ref="ns2:Languag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78312-171c-43e1-b4bd-29c59a02173d" elementFormDefault="qualified">
    <xsd:import namespace="http://schemas.microsoft.com/office/2006/documentManagement/types"/>
    <xsd:import namespace="http://schemas.microsoft.com/office/infopath/2007/PartnerControls"/>
    <xsd:element name="TemplateType" ma:index="8" nillable="true" ma:displayName="TemplateType" ma:internalName="TemplateType">
      <xsd:simpleType>
        <xsd:restriction base="dms:Choice">
          <xsd:enumeration value="Afgoerelsesreferat"/>
          <xsd:enumeration value="Afslag"/>
          <xsd:enumeration value="AfslutSag"/>
          <xsd:enumeration value="Allokeringsopgaveadvisering"/>
          <xsd:enumeration value="AnsoegningsKvittering"/>
          <xsd:enumeration value="AutomatiskUdbetaling"/>
          <xsd:enumeration value="BegrundAfgoerlse"/>
          <xsd:enumeration value="Berigelsesdokument"/>
          <xsd:enumeration value="Bevilling"/>
          <xsd:enumeration value="BevillingsBrev"/>
          <xsd:enumeration value="BevillingsGrundlag"/>
          <xsd:enumeration value="BlanketTilgaengelighed"/>
          <xsd:enumeration value="Budget"/>
          <xsd:enumeration value="FagligRapportForbehandling"/>
          <xsd:enumeration value="Forbehandlerskemaskabelon"/>
          <xsd:enumeration value="GDPRadvisering"/>
          <xsd:enumeration value="IndlaesAnsoegninger"/>
          <xsd:enumeration value="InnovationsmiljoeHovedark"/>
          <xsd:enumeration value="Invitation"/>
          <xsd:enumeration value="JournalSkabelon"/>
          <xsd:enumeration value="Kommunikation"/>
          <xsd:enumeration value="KontrolAfAendringsanmodning"/>
          <xsd:enumeration value="KontrolAfAndetMateriale"/>
          <xsd:enumeration value="KontrolAfBudget"/>
          <xsd:enumeration value="KontrolAfFagligRapport"/>
          <xsd:enumeration value="KontrolAfInnovationsmiljoe"/>
          <xsd:enumeration value="KontrolAfRegnskab"/>
          <xsd:enumeration value="Kvittering"/>
          <xsd:enumeration value="Mobilisering"/>
          <xsd:enumeration value="Moedeark"/>
          <xsd:enumeration value="ObsoleteBudgetRegnskab"/>
          <xsd:enumeration value="Opkraevning"/>
          <xsd:enumeration value="Partshoeringsadvisering"/>
          <xsd:enumeration value="Perioderegnskab"/>
          <xsd:enumeration value="Rebudgettering"/>
          <xsd:enumeration value="RykkerOgReminder"/>
          <xsd:enumeration value="Slutregnskab"/>
          <xsd:enumeration value="Udbetaling"/>
        </xsd:restriction>
      </xsd:simpleType>
    </xsd:element>
    <xsd:element name="Language" ma:index="9" nillable="true" ma:displayName="Language" ma:internalName="Language">
      <xsd:simpleType>
        <xsd:restriction base="dms:Choice">
          <xsd:enumeration value="Dansk"/>
          <xsd:enumeration value="Engelsk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af3bd-f48f-48bf-a584-2cde8e9b77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Type xmlns="e8178312-171c-43e1-b4bd-29c59a02173d">Budget</TemplateType>
    <Language xmlns="e8178312-171c-43e1-b4bd-29c59a02173d">Dansk</Language>
  </documentManagement>
</p:properties>
</file>

<file path=customXml/itemProps1.xml><?xml version="1.0" encoding="utf-8"?>
<ds:datastoreItem xmlns:ds="http://schemas.openxmlformats.org/officeDocument/2006/customXml" ds:itemID="{58AF8F9D-3120-4F46-9AB4-127505F890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810CAF-2D39-415B-AA36-E13954C49145}"/>
</file>

<file path=customXml/itemProps3.xml><?xml version="1.0" encoding="utf-8"?>
<ds:datastoreItem xmlns:ds="http://schemas.openxmlformats.org/officeDocument/2006/customXml" ds:itemID="{9E203871-184A-475A-9C2B-C55E85D34AC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cd0af3bd-f48f-48bf-a584-2cde8e9b771d"/>
    <ds:schemaRef ds:uri="http://schemas.microsoft.com/office/2006/documentManagement/types"/>
    <ds:schemaRef ds:uri="e8178312-171c-43e1-b4bd-29c59a02173d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Budget</vt:lpstr>
      <vt:lpstr>Print_Budget</vt:lpstr>
      <vt:lpstr>Partnere</vt:lpstr>
      <vt:lpstr>Poster</vt:lpstr>
      <vt:lpstr>Lookups</vt:lpstr>
      <vt:lpstr>Validators</vt:lpstr>
      <vt:lpstr>Versionering</vt:lpstr>
      <vt:lpstr>Print_Budget!CVR</vt:lpstr>
      <vt:lpstr>CVR</vt:lpstr>
      <vt:lpstr>Print_Budget!Print_Area</vt:lpstr>
      <vt:lpstr>Print_Budget!Projekstart</vt:lpstr>
      <vt:lpstr>Projekstart</vt:lpstr>
      <vt:lpstr>Print_Budget!Projektslut</vt:lpstr>
      <vt:lpstr>Projektslut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IFD - Innobooster - Budget (2025)</dc:title>
  <dc:creator>NN</dc:creator>
  <cp:lastModifiedBy>Alexander Råe Holm</cp:lastModifiedBy>
  <dcterms:created xsi:type="dcterms:W3CDTF">2015-07-29T11:19:46Z</dcterms:created>
  <dcterms:modified xsi:type="dcterms:W3CDTF">2025-02-13T09:56:25Z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0x01010096EF51F60E0E6B408AA3BB8BC5204724</vt:lpwstr>
  </property>
</Properties>
</file>